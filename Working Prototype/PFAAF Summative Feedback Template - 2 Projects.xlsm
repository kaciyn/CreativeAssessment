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Ruth Cochrane\Documents\Teaching\Marking Scheme\"/>
    </mc:Choice>
  </mc:AlternateContent>
  <bookViews>
    <workbookView xWindow="1800" yWindow="630" windowWidth="15315" windowHeight="7425"/>
  </bookViews>
  <sheets>
    <sheet name="Marking Template" sheetId="159" r:id="rId1"/>
    <sheet name="Class List" sheetId="5" r:id="rId2"/>
    <sheet name="Assessment Matrix" sheetId="4" r:id="rId3"/>
  </sheets>
  <functionGroups builtInGroupCount="18"/>
  <definedNames>
    <definedName name="_GoBack" localSheetId="1">'Class List'!$A$4</definedName>
  </definedNames>
  <calcPr calcId="162913"/>
</workbook>
</file>

<file path=xl/calcChain.xml><?xml version="1.0" encoding="utf-8"?>
<calcChain xmlns="http://schemas.openxmlformats.org/spreadsheetml/2006/main">
  <c r="R70" i="159" l="1"/>
  <c r="Q70" i="159" s="1"/>
  <c r="P70" i="159" s="1"/>
  <c r="O70" i="159" s="1"/>
  <c r="N70" i="159" s="1"/>
  <c r="M70" i="159" s="1"/>
  <c r="L70" i="159" s="1"/>
  <c r="K70" i="159" s="1"/>
  <c r="J70" i="159" s="1"/>
  <c r="I70" i="159" s="1"/>
  <c r="H70" i="159" s="1"/>
  <c r="G70" i="159" s="1"/>
  <c r="F70" i="159" s="1"/>
  <c r="D70" i="159" s="1"/>
  <c r="R68" i="159"/>
  <c r="Q68" i="159"/>
  <c r="P68" i="159"/>
  <c r="O68" i="159"/>
  <c r="N68" i="159"/>
  <c r="M68" i="159" s="1"/>
  <c r="L68" i="159" s="1"/>
  <c r="K68" i="159" s="1"/>
  <c r="J68" i="159" s="1"/>
  <c r="I68" i="159" s="1"/>
  <c r="H68" i="159" s="1"/>
  <c r="G68" i="159" s="1"/>
  <c r="F68" i="159" s="1"/>
  <c r="D68" i="159" s="1"/>
  <c r="R66" i="159"/>
  <c r="Q66" i="159"/>
  <c r="P66" i="159"/>
  <c r="O66" i="159"/>
  <c r="N66" i="159"/>
  <c r="M66" i="159"/>
  <c r="L66" i="159" s="1"/>
  <c r="K66" i="159" s="1"/>
  <c r="J66" i="159" s="1"/>
  <c r="I66" i="159" s="1"/>
  <c r="H66" i="159" s="1"/>
  <c r="G66" i="159" s="1"/>
  <c r="F66" i="159" s="1"/>
  <c r="D66" i="159" s="1"/>
  <c r="Q64" i="159"/>
  <c r="P64" i="159" s="1"/>
  <c r="O64" i="159" s="1"/>
  <c r="N64" i="159" s="1"/>
  <c r="M64" i="159" s="1"/>
  <c r="L64" i="159" s="1"/>
  <c r="K64" i="159" s="1"/>
  <c r="J64" i="159" s="1"/>
  <c r="I64" i="159" s="1"/>
  <c r="H64" i="159" s="1"/>
  <c r="G64" i="159" s="1"/>
  <c r="F64" i="159" s="1"/>
  <c r="D64" i="159" s="1"/>
  <c r="R64" i="159"/>
  <c r="R62" i="159"/>
  <c r="Q62" i="159"/>
  <c r="P62" i="159" s="1"/>
  <c r="O62" i="159" s="1"/>
  <c r="N62" i="159" s="1"/>
  <c r="M62" i="159" s="1"/>
  <c r="L62" i="159" s="1"/>
  <c r="K62" i="159" s="1"/>
  <c r="J62" i="159" s="1"/>
  <c r="I62" i="159" s="1"/>
  <c r="H62" i="159" s="1"/>
  <c r="G62" i="159" s="1"/>
  <c r="F62" i="159" s="1"/>
  <c r="D62" i="159" s="1"/>
  <c r="R69" i="159"/>
  <c r="Q69" i="159" s="1"/>
  <c r="P69" i="159" s="1"/>
  <c r="O69" i="159" s="1"/>
  <c r="N69" i="159" s="1"/>
  <c r="M69" i="159" s="1"/>
  <c r="L69" i="159" s="1"/>
  <c r="K69" i="159" s="1"/>
  <c r="J69" i="159" s="1"/>
  <c r="I69" i="159" s="1"/>
  <c r="H69" i="159" s="1"/>
  <c r="G69" i="159" s="1"/>
  <c r="F69" i="159" s="1"/>
  <c r="D69" i="159" s="1"/>
  <c r="R67" i="159"/>
  <c r="Q67" i="159"/>
  <c r="P67" i="159"/>
  <c r="O67" i="159"/>
  <c r="N67" i="159"/>
  <c r="M67" i="159" s="1"/>
  <c r="L67" i="159" s="1"/>
  <c r="K67" i="159" s="1"/>
  <c r="J67" i="159" s="1"/>
  <c r="I67" i="159" s="1"/>
  <c r="H67" i="159" s="1"/>
  <c r="G67" i="159" s="1"/>
  <c r="F67" i="159" s="1"/>
  <c r="D67" i="159" s="1"/>
  <c r="R65" i="159"/>
  <c r="Q65" i="159"/>
  <c r="P65" i="159"/>
  <c r="O65" i="159"/>
  <c r="N65" i="159"/>
  <c r="M65" i="159"/>
  <c r="L65" i="159" s="1"/>
  <c r="K65" i="159" s="1"/>
  <c r="J65" i="159" s="1"/>
  <c r="I65" i="159" s="1"/>
  <c r="H65" i="159" s="1"/>
  <c r="G65" i="159" s="1"/>
  <c r="F65" i="159" s="1"/>
  <c r="D65" i="159" s="1"/>
  <c r="R63" i="159"/>
  <c r="Q63" i="159"/>
  <c r="P63" i="159"/>
  <c r="O63" i="159" s="1"/>
  <c r="N63" i="159" s="1"/>
  <c r="M63" i="159" s="1"/>
  <c r="L63" i="159" s="1"/>
  <c r="K63" i="159" s="1"/>
  <c r="J63" i="159" s="1"/>
  <c r="I63" i="159" s="1"/>
  <c r="H63" i="159" s="1"/>
  <c r="G63" i="159" s="1"/>
  <c r="F63" i="159" s="1"/>
  <c r="D63" i="159" s="1"/>
  <c r="R61" i="159"/>
  <c r="Q61" i="159"/>
  <c r="P61" i="159" s="1"/>
  <c r="O61" i="159" s="1"/>
  <c r="N61" i="159" s="1"/>
  <c r="M61" i="159" s="1"/>
  <c r="L61" i="159" s="1"/>
  <c r="K61" i="159" s="1"/>
  <c r="J61" i="159" s="1"/>
  <c r="I61" i="159" s="1"/>
  <c r="H61" i="159" s="1"/>
  <c r="G61" i="159" s="1"/>
  <c r="F61" i="159" s="1"/>
  <c r="D61" i="159" s="1"/>
  <c r="C59" i="159"/>
  <c r="R39" i="159"/>
  <c r="Q39" i="159" s="1"/>
  <c r="P39" i="159" s="1"/>
  <c r="O39" i="159" s="1"/>
  <c r="N39" i="159" s="1"/>
  <c r="M39" i="159" s="1"/>
  <c r="L39" i="159" s="1"/>
  <c r="K39" i="159" s="1"/>
  <c r="J39" i="159" s="1"/>
  <c r="I39" i="159" s="1"/>
  <c r="H39" i="159" s="1"/>
  <c r="G39" i="159" s="1"/>
  <c r="F39" i="159" s="1"/>
  <c r="D39" i="159" s="1"/>
  <c r="R37" i="159"/>
  <c r="Q37" i="159"/>
  <c r="P37" i="159" s="1"/>
  <c r="O37" i="159" s="1"/>
  <c r="N37" i="159" s="1"/>
  <c r="M37" i="159" s="1"/>
  <c r="L37" i="159" s="1"/>
  <c r="K37" i="159" s="1"/>
  <c r="J37" i="159" s="1"/>
  <c r="I37" i="159" s="1"/>
  <c r="H37" i="159" s="1"/>
  <c r="G37" i="159" s="1"/>
  <c r="F37" i="159" s="1"/>
  <c r="D37" i="159" s="1"/>
  <c r="R35" i="159"/>
  <c r="Q35" i="159"/>
  <c r="P35" i="159"/>
  <c r="O35" i="159"/>
  <c r="N35" i="159"/>
  <c r="M35" i="159"/>
  <c r="L35" i="159" s="1"/>
  <c r="K35" i="159" s="1"/>
  <c r="J35" i="159" s="1"/>
  <c r="I35" i="159" s="1"/>
  <c r="H35" i="159" s="1"/>
  <c r="G35" i="159" s="1"/>
  <c r="F35" i="159" s="1"/>
  <c r="D35" i="159" s="1"/>
  <c r="R33" i="159"/>
  <c r="Q33" i="159"/>
  <c r="P33" i="159"/>
  <c r="O33" i="159"/>
  <c r="N33" i="159"/>
  <c r="M33" i="159"/>
  <c r="L33" i="159" s="1"/>
  <c r="K33" i="159" s="1"/>
  <c r="J33" i="159" s="1"/>
  <c r="I33" i="159" s="1"/>
  <c r="H33" i="159" s="1"/>
  <c r="G33" i="159" s="1"/>
  <c r="F33" i="159" s="1"/>
  <c r="D33" i="159" s="1"/>
  <c r="R31" i="159"/>
  <c r="Q31" i="159" s="1"/>
  <c r="P31" i="159" s="1"/>
  <c r="O31" i="159" s="1"/>
  <c r="N31" i="159" s="1"/>
  <c r="M31" i="159" s="1"/>
  <c r="L31" i="159" s="1"/>
  <c r="K31" i="159" s="1"/>
  <c r="J31" i="159" s="1"/>
  <c r="I31" i="159" s="1"/>
  <c r="H31" i="159" s="1"/>
  <c r="G31" i="159" s="1"/>
  <c r="F31" i="159" s="1"/>
  <c r="D31" i="159" s="1"/>
  <c r="M32" i="159"/>
  <c r="L32" i="159" s="1"/>
  <c r="K32" i="159" s="1"/>
  <c r="J32" i="159" s="1"/>
  <c r="I32" i="159" s="1"/>
  <c r="H32" i="159" s="1"/>
  <c r="G32" i="159" s="1"/>
  <c r="F32" i="159" s="1"/>
  <c r="D32" i="159" s="1"/>
  <c r="N32" i="159"/>
  <c r="O32" i="159"/>
  <c r="P32" i="159"/>
  <c r="Q32" i="159"/>
  <c r="R32" i="159"/>
  <c r="P60" i="159" l="1"/>
  <c r="Q60" i="159"/>
  <c r="M60" i="159"/>
  <c r="L60" i="159" s="1"/>
  <c r="K60" i="159" s="1"/>
  <c r="J60" i="159" s="1"/>
  <c r="I60" i="159" s="1"/>
  <c r="H60" i="159" s="1"/>
  <c r="G60" i="159" s="1"/>
  <c r="F60" i="159" s="1"/>
  <c r="D60" i="159" s="1"/>
  <c r="N60" i="159"/>
  <c r="R60" i="159"/>
  <c r="O60" i="159"/>
  <c r="M59" i="159"/>
  <c r="L59" i="159" s="1"/>
  <c r="K59" i="159" s="1"/>
  <c r="J59" i="159" s="1"/>
  <c r="I59" i="159" s="1"/>
  <c r="H59" i="159" s="1"/>
  <c r="G59" i="159" s="1"/>
  <c r="F59" i="159" s="1"/>
  <c r="D59" i="159" s="1"/>
  <c r="Q59" i="159"/>
  <c r="N59" i="159"/>
  <c r="R59" i="159"/>
  <c r="O59" i="159"/>
  <c r="P59" i="159"/>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2" i="5"/>
  <c r="C3" i="5"/>
  <c r="C4" i="5"/>
  <c r="C5" i="5"/>
  <c r="C6" i="5"/>
  <c r="C7" i="5"/>
  <c r="C8" i="5"/>
  <c r="C9" i="5"/>
  <c r="C10" i="5"/>
  <c r="C11" i="5"/>
  <c r="C12" i="5"/>
  <c r="C13" i="5"/>
  <c r="C14" i="5"/>
  <c r="C15" i="5"/>
  <c r="C16" i="5"/>
  <c r="C17" i="5"/>
  <c r="C18" i="5"/>
  <c r="C19" i="5"/>
  <c r="C20" i="5"/>
  <c r="C21" i="5"/>
  <c r="C22" i="5"/>
  <c r="C23" i="5"/>
  <c r="C24" i="5"/>
  <c r="C25" i="5"/>
  <c r="R38" i="159"/>
  <c r="Q38" i="159" s="1"/>
  <c r="P38" i="159" s="1"/>
  <c r="O38" i="159" s="1"/>
  <c r="N38" i="159" s="1"/>
  <c r="M38" i="159" s="1"/>
  <c r="L38" i="159" s="1"/>
  <c r="K38" i="159" s="1"/>
  <c r="J38" i="159" s="1"/>
  <c r="I38" i="159" s="1"/>
  <c r="H38" i="159" s="1"/>
  <c r="G38" i="159" s="1"/>
  <c r="F38" i="159" s="1"/>
  <c r="D38" i="159" s="1"/>
  <c r="R36" i="159"/>
  <c r="Q36" i="159"/>
  <c r="P36" i="159" s="1"/>
  <c r="O36" i="159" s="1"/>
  <c r="N36" i="159" s="1"/>
  <c r="M36" i="159" s="1"/>
  <c r="L36" i="159" s="1"/>
  <c r="K36" i="159" s="1"/>
  <c r="J36" i="159" s="1"/>
  <c r="I36" i="159" s="1"/>
  <c r="H36" i="159" s="1"/>
  <c r="G36" i="159" s="1"/>
  <c r="F36" i="159" s="1"/>
  <c r="D36" i="159" s="1"/>
  <c r="R34" i="159"/>
  <c r="Q34" i="159"/>
  <c r="P34" i="159"/>
  <c r="O34" i="159"/>
  <c r="N34" i="159"/>
  <c r="M34" i="159"/>
  <c r="L34" i="159" s="1"/>
  <c r="K34" i="159" s="1"/>
  <c r="J34" i="159" s="1"/>
  <c r="I34" i="159" s="1"/>
  <c r="H34" i="159" s="1"/>
  <c r="G34" i="159" s="1"/>
  <c r="F34" i="159" s="1"/>
  <c r="D34" i="159" s="1"/>
  <c r="R30" i="159"/>
  <c r="Q30" i="159" s="1"/>
  <c r="P30" i="159" s="1"/>
  <c r="C28" i="159"/>
  <c r="B25" i="159"/>
  <c r="A1" i="159"/>
  <c r="D1" i="159" s="1"/>
  <c r="D59" i="5"/>
  <c r="F18" i="5"/>
  <c r="G55" i="5"/>
  <c r="F12" i="5"/>
  <c r="G8" i="5"/>
  <c r="F60" i="5"/>
  <c r="F45" i="5"/>
  <c r="D53" i="5"/>
  <c r="E8" i="5"/>
  <c r="F17" i="5"/>
  <c r="E33" i="5"/>
  <c r="D33" i="5"/>
  <c r="E14" i="5"/>
  <c r="F58" i="5"/>
  <c r="D5" i="5"/>
  <c r="G58" i="5"/>
  <c r="F6" i="5"/>
  <c r="D41" i="5"/>
  <c r="E56" i="5"/>
  <c r="D16" i="5"/>
  <c r="E5" i="5"/>
  <c r="D3" i="5"/>
  <c r="F28" i="5"/>
  <c r="D6" i="5"/>
  <c r="G28" i="5"/>
  <c r="F35" i="5"/>
  <c r="E18" i="5"/>
  <c r="D2" i="5"/>
  <c r="E54" i="5"/>
  <c r="G47" i="5"/>
  <c r="F57" i="5"/>
  <c r="E22" i="5"/>
  <c r="D30" i="5"/>
  <c r="F22" i="5"/>
  <c r="F44" i="5"/>
  <c r="D35" i="5"/>
  <c r="D40" i="5"/>
  <c r="G34" i="5"/>
  <c r="F34" i="5"/>
  <c r="D36" i="5"/>
  <c r="F33" i="5"/>
  <c r="E19" i="5"/>
  <c r="G30" i="5"/>
  <c r="G37" i="5"/>
  <c r="G52" i="5"/>
  <c r="F27" i="5"/>
  <c r="D22" i="5"/>
  <c r="G54" i="5"/>
  <c r="F14" i="5"/>
  <c r="F56" i="5"/>
  <c r="G10" i="5"/>
  <c r="G7" i="5"/>
  <c r="D21" i="5"/>
  <c r="E30" i="5"/>
  <c r="G32" i="5"/>
  <c r="D25" i="5"/>
  <c r="D14" i="5"/>
  <c r="D56" i="5"/>
  <c r="E53" i="5"/>
  <c r="G12" i="5"/>
  <c r="D18" i="5"/>
  <c r="D39" i="5"/>
  <c r="E2" i="5"/>
  <c r="F52" i="5"/>
  <c r="G19" i="5"/>
  <c r="G3" i="5"/>
  <c r="G41" i="5"/>
  <c r="E42" i="5"/>
  <c r="E27" i="5"/>
  <c r="G26" i="5"/>
  <c r="G44" i="5"/>
  <c r="G56" i="5"/>
  <c r="D38" i="5"/>
  <c r="F53" i="5"/>
  <c r="D29" i="5"/>
  <c r="E38" i="5"/>
  <c r="D24" i="5"/>
  <c r="E58" i="5"/>
  <c r="D42" i="5"/>
  <c r="F42" i="5"/>
  <c r="F30" i="5"/>
  <c r="G13" i="5"/>
  <c r="F24" i="5"/>
  <c r="F47" i="5"/>
  <c r="D47" i="5"/>
  <c r="G48" i="5"/>
  <c r="F15" i="5"/>
  <c r="E16" i="5"/>
  <c r="G29" i="5"/>
  <c r="G39" i="5"/>
  <c r="G11" i="5"/>
  <c r="D4" i="5"/>
  <c r="D28" i="5"/>
  <c r="G22" i="5"/>
  <c r="D34" i="5"/>
  <c r="D50" i="5"/>
  <c r="F4" i="5"/>
  <c r="E15" i="5"/>
  <c r="G23" i="5"/>
  <c r="E43" i="5"/>
  <c r="E52" i="5"/>
  <c r="E55" i="5"/>
  <c r="D58" i="5"/>
  <c r="G9" i="5"/>
  <c r="D55" i="5"/>
  <c r="G4" i="5"/>
  <c r="D15" i="5"/>
  <c r="G25" i="5"/>
  <c r="F2" i="5"/>
  <c r="E40" i="5"/>
  <c r="F40" i="5"/>
  <c r="F21" i="5"/>
  <c r="E11" i="5"/>
  <c r="D52" i="5"/>
  <c r="F41" i="5"/>
  <c r="F8" i="5"/>
  <c r="E12" i="5"/>
  <c r="D8" i="5"/>
  <c r="F32" i="5"/>
  <c r="G50" i="5"/>
  <c r="D13" i="5"/>
  <c r="D12" i="5"/>
  <c r="F11" i="5"/>
  <c r="D10" i="5"/>
  <c r="G46" i="5"/>
  <c r="E3" i="5"/>
  <c r="G14" i="5"/>
  <c r="D48" i="5"/>
  <c r="G59" i="5"/>
  <c r="E13" i="5"/>
  <c r="E24" i="5"/>
  <c r="E36" i="5"/>
  <c r="G40" i="5"/>
  <c r="G49" i="5"/>
  <c r="D27" i="5"/>
  <c r="E21" i="5"/>
  <c r="E29" i="5"/>
  <c r="G2" i="5"/>
  <c r="F13" i="5"/>
  <c r="F48" i="5"/>
  <c r="F59" i="5"/>
  <c r="F20" i="5"/>
  <c r="D49" i="5"/>
  <c r="G35" i="5"/>
  <c r="F3" i="5"/>
  <c r="E20" i="5"/>
  <c r="D9" i="5"/>
  <c r="E59" i="5"/>
  <c r="G20" i="5"/>
  <c r="G51" i="5"/>
  <c r="G42" i="5"/>
  <c r="F19" i="5"/>
  <c r="F9" i="5"/>
  <c r="F31" i="5"/>
  <c r="F10" i="5"/>
  <c r="G45" i="5"/>
  <c r="G57" i="5"/>
  <c r="G18" i="5"/>
  <c r="E32" i="5"/>
  <c r="F25" i="5"/>
  <c r="E49" i="5"/>
  <c r="F51" i="5"/>
  <c r="D60" i="5"/>
  <c r="D44" i="5"/>
  <c r="F39" i="5"/>
  <c r="G21" i="5"/>
  <c r="E46" i="5"/>
  <c r="E60" i="5"/>
  <c r="E50" i="5"/>
  <c r="E9" i="5"/>
  <c r="E51" i="5"/>
  <c r="G6" i="5"/>
  <c r="D31" i="5"/>
  <c r="E57" i="5"/>
  <c r="F37" i="5"/>
  <c r="G27" i="5"/>
  <c r="D54" i="5"/>
  <c r="E37" i="5"/>
  <c r="F55" i="5"/>
  <c r="D43" i="5"/>
  <c r="D51" i="5"/>
  <c r="D19" i="5"/>
  <c r="E25" i="5"/>
  <c r="E31" i="5"/>
  <c r="G24" i="5"/>
  <c r="F23" i="5"/>
  <c r="G5" i="5"/>
  <c r="E35" i="5"/>
  <c r="E10" i="5"/>
  <c r="E6" i="5"/>
  <c r="D45" i="5"/>
  <c r="E34" i="5"/>
  <c r="E44" i="5"/>
  <c r="G16" i="5"/>
  <c r="F36" i="5"/>
  <c r="E47" i="5"/>
  <c r="D32" i="5"/>
  <c r="E45" i="5"/>
  <c r="F49" i="5"/>
  <c r="F16" i="5"/>
  <c r="F38" i="5"/>
  <c r="D23" i="5"/>
  <c r="G15" i="5"/>
  <c r="D37" i="5"/>
  <c r="F50" i="5"/>
  <c r="D7" i="5"/>
  <c r="G53" i="5"/>
  <c r="E39" i="5"/>
  <c r="E26" i="5"/>
  <c r="F46" i="5"/>
  <c r="G60" i="5"/>
  <c r="D57" i="5"/>
  <c r="F29" i="5"/>
  <c r="G36" i="5"/>
  <c r="F54" i="5"/>
  <c r="D26" i="5"/>
  <c r="D46" i="5"/>
  <c r="G38" i="5"/>
  <c r="E7" i="5"/>
  <c r="D20" i="5"/>
  <c r="F5" i="5"/>
  <c r="F7" i="5"/>
  <c r="D17" i="5"/>
  <c r="F26" i="5"/>
  <c r="G43" i="5"/>
  <c r="G33" i="5"/>
  <c r="G17" i="5"/>
  <c r="G31" i="5"/>
  <c r="E48" i="5"/>
  <c r="E23" i="5"/>
  <c r="F43" i="5"/>
  <c r="E28" i="5"/>
  <c r="E4" i="5"/>
  <c r="E17" i="5"/>
  <c r="D11" i="5"/>
  <c r="E41" i="5"/>
  <c r="O30" i="159" l="1"/>
  <c r="N30" i="159" s="1"/>
  <c r="M30" i="159" s="1"/>
  <c r="L30" i="159" s="1"/>
  <c r="K30" i="159" s="1"/>
  <c r="J30" i="159" s="1"/>
  <c r="I30" i="159" s="1"/>
  <c r="H30" i="159" s="1"/>
  <c r="G30" i="159" s="1"/>
  <c r="F30" i="159" s="1"/>
  <c r="D30" i="159" s="1"/>
  <c r="P29" i="159"/>
  <c r="K59" i="5"/>
  <c r="O59" i="5"/>
  <c r="S59" i="5"/>
  <c r="J59" i="5"/>
  <c r="N59" i="5"/>
  <c r="R59" i="5"/>
  <c r="I59" i="5"/>
  <c r="M59" i="5"/>
  <c r="Q59" i="5"/>
  <c r="U59" i="5"/>
  <c r="L59" i="5"/>
  <c r="P59" i="5"/>
  <c r="T59" i="5"/>
  <c r="H57" i="5"/>
  <c r="K55" i="5"/>
  <c r="O55" i="5"/>
  <c r="S55" i="5"/>
  <c r="J55" i="5"/>
  <c r="N55" i="5"/>
  <c r="R55" i="5"/>
  <c r="I55" i="5"/>
  <c r="M55" i="5"/>
  <c r="Q55" i="5"/>
  <c r="U55" i="5"/>
  <c r="L55" i="5"/>
  <c r="P55" i="5"/>
  <c r="T55" i="5"/>
  <c r="H53" i="5"/>
  <c r="K51" i="5"/>
  <c r="O51" i="5"/>
  <c r="S51" i="5"/>
  <c r="J51" i="5"/>
  <c r="N51" i="5"/>
  <c r="R51" i="5"/>
  <c r="I51" i="5"/>
  <c r="M51" i="5"/>
  <c r="Q51" i="5"/>
  <c r="U51" i="5"/>
  <c r="L51" i="5"/>
  <c r="P51" i="5"/>
  <c r="T51" i="5"/>
  <c r="H49" i="5"/>
  <c r="K47" i="5"/>
  <c r="O47" i="5"/>
  <c r="S47" i="5"/>
  <c r="J47" i="5"/>
  <c r="N47" i="5"/>
  <c r="R47" i="5"/>
  <c r="I47" i="5"/>
  <c r="M47" i="5"/>
  <c r="Q47" i="5"/>
  <c r="U47" i="5"/>
  <c r="L47" i="5"/>
  <c r="P47" i="5"/>
  <c r="T47" i="5"/>
  <c r="H45" i="5"/>
  <c r="K43" i="5"/>
  <c r="O43" i="5"/>
  <c r="S43" i="5"/>
  <c r="J43" i="5"/>
  <c r="N43" i="5"/>
  <c r="R43" i="5"/>
  <c r="I43" i="5"/>
  <c r="M43" i="5"/>
  <c r="Q43" i="5"/>
  <c r="U43" i="5"/>
  <c r="L43" i="5"/>
  <c r="P43" i="5"/>
  <c r="T43" i="5"/>
  <c r="H41" i="5"/>
  <c r="K39" i="5"/>
  <c r="O39" i="5"/>
  <c r="S39" i="5"/>
  <c r="J39" i="5"/>
  <c r="N39" i="5"/>
  <c r="R39" i="5"/>
  <c r="I39" i="5"/>
  <c r="M39" i="5"/>
  <c r="Q39" i="5"/>
  <c r="U39" i="5"/>
  <c r="L39" i="5"/>
  <c r="P39" i="5"/>
  <c r="T39" i="5"/>
  <c r="H37" i="5"/>
  <c r="S35" i="5"/>
  <c r="R35" i="5"/>
  <c r="Q35" i="5"/>
  <c r="U35" i="5"/>
  <c r="P35" i="5"/>
  <c r="O35" i="5" s="1"/>
  <c r="N35" i="5" s="1"/>
  <c r="M35" i="5" s="1"/>
  <c r="L35" i="5" s="1"/>
  <c r="K35" i="5" s="1"/>
  <c r="J35" i="5" s="1"/>
  <c r="I35" i="5" s="1"/>
  <c r="T35" i="5"/>
  <c r="H33" i="5"/>
  <c r="S31" i="5"/>
  <c r="R31" i="5"/>
  <c r="Q31" i="5"/>
  <c r="U31" i="5"/>
  <c r="P31" i="5"/>
  <c r="O31" i="5" s="1"/>
  <c r="N31" i="5" s="1"/>
  <c r="M31" i="5" s="1"/>
  <c r="L31" i="5" s="1"/>
  <c r="K31" i="5" s="1"/>
  <c r="J31" i="5" s="1"/>
  <c r="I31" i="5" s="1"/>
  <c r="T31" i="5"/>
  <c r="H29" i="5"/>
  <c r="S27" i="5"/>
  <c r="R27" i="5"/>
  <c r="Q27" i="5"/>
  <c r="U27" i="5"/>
  <c r="P27" i="5"/>
  <c r="O27" i="5" s="1"/>
  <c r="N27" i="5" s="1"/>
  <c r="M27" i="5" s="1"/>
  <c r="L27" i="5" s="1"/>
  <c r="K27" i="5" s="1"/>
  <c r="J27" i="5" s="1"/>
  <c r="I27" i="5" s="1"/>
  <c r="T27" i="5"/>
  <c r="H60" i="5"/>
  <c r="J58" i="5"/>
  <c r="N58" i="5"/>
  <c r="R58" i="5"/>
  <c r="I58" i="5"/>
  <c r="M58" i="5"/>
  <c r="Q58" i="5"/>
  <c r="U58" i="5"/>
  <c r="L58" i="5"/>
  <c r="P58" i="5"/>
  <c r="T58" i="5"/>
  <c r="K58" i="5"/>
  <c r="O58" i="5"/>
  <c r="S58" i="5"/>
  <c r="H56" i="5"/>
  <c r="J54" i="5"/>
  <c r="N54" i="5"/>
  <c r="R54" i="5"/>
  <c r="I54" i="5"/>
  <c r="M54" i="5"/>
  <c r="Q54" i="5"/>
  <c r="U54" i="5"/>
  <c r="L54" i="5"/>
  <c r="P54" i="5"/>
  <c r="T54" i="5"/>
  <c r="K54" i="5"/>
  <c r="O54" i="5"/>
  <c r="S54" i="5"/>
  <c r="H52" i="5"/>
  <c r="J50" i="5"/>
  <c r="N50" i="5"/>
  <c r="R50" i="5"/>
  <c r="I50" i="5"/>
  <c r="M50" i="5"/>
  <c r="Q50" i="5"/>
  <c r="U50" i="5"/>
  <c r="L50" i="5"/>
  <c r="P50" i="5"/>
  <c r="T50" i="5"/>
  <c r="K50" i="5"/>
  <c r="O50" i="5"/>
  <c r="S50" i="5"/>
  <c r="H48" i="5"/>
  <c r="J46" i="5"/>
  <c r="N46" i="5"/>
  <c r="R46" i="5"/>
  <c r="I46" i="5"/>
  <c r="M46" i="5"/>
  <c r="Q46" i="5"/>
  <c r="U46" i="5"/>
  <c r="L46" i="5"/>
  <c r="P46" i="5"/>
  <c r="T46" i="5"/>
  <c r="K46" i="5"/>
  <c r="O46" i="5"/>
  <c r="S46" i="5"/>
  <c r="H44" i="5"/>
  <c r="J42" i="5"/>
  <c r="N42" i="5"/>
  <c r="R42" i="5"/>
  <c r="I42" i="5"/>
  <c r="M42" i="5"/>
  <c r="Q42" i="5"/>
  <c r="U42" i="5"/>
  <c r="L42" i="5"/>
  <c r="P42" i="5"/>
  <c r="T42" i="5"/>
  <c r="K42" i="5"/>
  <c r="O42" i="5"/>
  <c r="S42" i="5"/>
  <c r="H40" i="5"/>
  <c r="J38" i="5"/>
  <c r="N38" i="5"/>
  <c r="R38" i="5"/>
  <c r="I38" i="5"/>
  <c r="M38" i="5"/>
  <c r="Q38" i="5"/>
  <c r="U38" i="5"/>
  <c r="L38" i="5"/>
  <c r="P38" i="5"/>
  <c r="T38" i="5"/>
  <c r="K38" i="5"/>
  <c r="O38" i="5"/>
  <c r="S38" i="5"/>
  <c r="H36" i="5"/>
  <c r="R34" i="5"/>
  <c r="Q34" i="5"/>
  <c r="U34" i="5"/>
  <c r="P34" i="5"/>
  <c r="O34" i="5" s="1"/>
  <c r="N34" i="5" s="1"/>
  <c r="M34" i="5" s="1"/>
  <c r="L34" i="5" s="1"/>
  <c r="K34" i="5" s="1"/>
  <c r="J34" i="5" s="1"/>
  <c r="I34" i="5" s="1"/>
  <c r="T34" i="5"/>
  <c r="S34" i="5"/>
  <c r="H32" i="5"/>
  <c r="R30" i="5"/>
  <c r="Q30" i="5"/>
  <c r="U30" i="5"/>
  <c r="P30" i="5"/>
  <c r="O30" i="5" s="1"/>
  <c r="N30" i="5" s="1"/>
  <c r="M30" i="5" s="1"/>
  <c r="L30" i="5" s="1"/>
  <c r="K30" i="5" s="1"/>
  <c r="J30" i="5" s="1"/>
  <c r="I30" i="5" s="1"/>
  <c r="T30" i="5"/>
  <c r="S30" i="5"/>
  <c r="H28" i="5"/>
  <c r="R26" i="5"/>
  <c r="Q26" i="5"/>
  <c r="U26" i="5"/>
  <c r="P26" i="5"/>
  <c r="O26" i="5" s="1"/>
  <c r="N26" i="5" s="1"/>
  <c r="M26" i="5" s="1"/>
  <c r="L26" i="5" s="1"/>
  <c r="K26" i="5" s="1"/>
  <c r="J26" i="5" s="1"/>
  <c r="I26" i="5" s="1"/>
  <c r="T26" i="5"/>
  <c r="S26" i="5"/>
  <c r="H59" i="5"/>
  <c r="I57" i="5"/>
  <c r="M57" i="5"/>
  <c r="Q57" i="5"/>
  <c r="U57" i="5"/>
  <c r="L57" i="5"/>
  <c r="P57" i="5"/>
  <c r="T57" i="5"/>
  <c r="K57" i="5"/>
  <c r="O57" i="5"/>
  <c r="S57" i="5"/>
  <c r="J57" i="5"/>
  <c r="N57" i="5"/>
  <c r="R57" i="5"/>
  <c r="H55" i="5"/>
  <c r="I53" i="5"/>
  <c r="M53" i="5"/>
  <c r="Q53" i="5"/>
  <c r="U53" i="5"/>
  <c r="L53" i="5"/>
  <c r="P53" i="5"/>
  <c r="T53" i="5"/>
  <c r="K53" i="5"/>
  <c r="O53" i="5"/>
  <c r="S53" i="5"/>
  <c r="J53" i="5"/>
  <c r="N53" i="5"/>
  <c r="R53" i="5"/>
  <c r="H51" i="5"/>
  <c r="I49" i="5"/>
  <c r="M49" i="5"/>
  <c r="Q49" i="5"/>
  <c r="U49" i="5"/>
  <c r="L49" i="5"/>
  <c r="P49" i="5"/>
  <c r="T49" i="5"/>
  <c r="K49" i="5"/>
  <c r="O49" i="5"/>
  <c r="S49" i="5"/>
  <c r="J49" i="5"/>
  <c r="N49" i="5"/>
  <c r="R49" i="5"/>
  <c r="H47" i="5"/>
  <c r="I45" i="5"/>
  <c r="M45" i="5"/>
  <c r="Q45" i="5"/>
  <c r="U45" i="5"/>
  <c r="L45" i="5"/>
  <c r="P45" i="5"/>
  <c r="T45" i="5"/>
  <c r="K45" i="5"/>
  <c r="O45" i="5"/>
  <c r="S45" i="5"/>
  <c r="J45" i="5"/>
  <c r="N45" i="5"/>
  <c r="R45" i="5"/>
  <c r="H43" i="5"/>
  <c r="I41" i="5"/>
  <c r="M41" i="5"/>
  <c r="Q41" i="5"/>
  <c r="U41" i="5"/>
  <c r="L41" i="5"/>
  <c r="P41" i="5"/>
  <c r="T41" i="5"/>
  <c r="K41" i="5"/>
  <c r="O41" i="5"/>
  <c r="S41" i="5"/>
  <c r="J41" i="5"/>
  <c r="N41" i="5"/>
  <c r="R41" i="5"/>
  <c r="H39" i="5"/>
  <c r="I37" i="5"/>
  <c r="M37" i="5"/>
  <c r="Q37" i="5"/>
  <c r="U37" i="5"/>
  <c r="L37" i="5"/>
  <c r="P37" i="5"/>
  <c r="T37" i="5"/>
  <c r="K37" i="5"/>
  <c r="O37" i="5"/>
  <c r="S37" i="5"/>
  <c r="J37" i="5"/>
  <c r="N37" i="5"/>
  <c r="R37" i="5"/>
  <c r="H35" i="5"/>
  <c r="Q33" i="5"/>
  <c r="U33" i="5"/>
  <c r="P33" i="5"/>
  <c r="O33" i="5" s="1"/>
  <c r="N33" i="5" s="1"/>
  <c r="M33" i="5" s="1"/>
  <c r="L33" i="5" s="1"/>
  <c r="K33" i="5" s="1"/>
  <c r="J33" i="5" s="1"/>
  <c r="I33" i="5" s="1"/>
  <c r="T33" i="5"/>
  <c r="S33" i="5"/>
  <c r="R33" i="5"/>
  <c r="H31" i="5"/>
  <c r="Q29" i="5"/>
  <c r="U29" i="5"/>
  <c r="P29" i="5"/>
  <c r="O29" i="5" s="1"/>
  <c r="N29" i="5" s="1"/>
  <c r="M29" i="5" s="1"/>
  <c r="L29" i="5" s="1"/>
  <c r="K29" i="5" s="1"/>
  <c r="J29" i="5" s="1"/>
  <c r="I29" i="5" s="1"/>
  <c r="T29" i="5"/>
  <c r="S29" i="5"/>
  <c r="R29" i="5"/>
  <c r="H27" i="5"/>
  <c r="L60" i="5"/>
  <c r="P60" i="5"/>
  <c r="T60" i="5"/>
  <c r="K60" i="5"/>
  <c r="O60" i="5"/>
  <c r="S60" i="5"/>
  <c r="J60" i="5"/>
  <c r="N60" i="5"/>
  <c r="R60" i="5"/>
  <c r="I60" i="5"/>
  <c r="M60" i="5"/>
  <c r="Q60" i="5"/>
  <c r="U60" i="5"/>
  <c r="H58" i="5"/>
  <c r="L56" i="5"/>
  <c r="P56" i="5"/>
  <c r="T56" i="5"/>
  <c r="K56" i="5"/>
  <c r="O56" i="5"/>
  <c r="S56" i="5"/>
  <c r="J56" i="5"/>
  <c r="N56" i="5"/>
  <c r="R56" i="5"/>
  <c r="I56" i="5"/>
  <c r="M56" i="5"/>
  <c r="Q56" i="5"/>
  <c r="U56" i="5"/>
  <c r="H54" i="5"/>
  <c r="L52" i="5"/>
  <c r="P52" i="5"/>
  <c r="T52" i="5"/>
  <c r="K52" i="5"/>
  <c r="O52" i="5"/>
  <c r="S52" i="5"/>
  <c r="J52" i="5"/>
  <c r="N52" i="5"/>
  <c r="R52" i="5"/>
  <c r="I52" i="5"/>
  <c r="M52" i="5"/>
  <c r="Q52" i="5"/>
  <c r="U52" i="5"/>
  <c r="H50" i="5"/>
  <c r="L48" i="5"/>
  <c r="P48" i="5"/>
  <c r="T48" i="5"/>
  <c r="K48" i="5"/>
  <c r="O48" i="5"/>
  <c r="S48" i="5"/>
  <c r="J48" i="5"/>
  <c r="N48" i="5"/>
  <c r="R48" i="5"/>
  <c r="I48" i="5"/>
  <c r="M48" i="5"/>
  <c r="Q48" i="5"/>
  <c r="U48" i="5"/>
  <c r="H46" i="5"/>
  <c r="L44" i="5"/>
  <c r="P44" i="5"/>
  <c r="T44" i="5"/>
  <c r="K44" i="5"/>
  <c r="O44" i="5"/>
  <c r="S44" i="5"/>
  <c r="J44" i="5"/>
  <c r="N44" i="5"/>
  <c r="R44" i="5"/>
  <c r="I44" i="5"/>
  <c r="M44" i="5"/>
  <c r="Q44" i="5"/>
  <c r="U44" i="5"/>
  <c r="H42" i="5"/>
  <c r="L40" i="5"/>
  <c r="P40" i="5"/>
  <c r="T40" i="5"/>
  <c r="K40" i="5"/>
  <c r="O40" i="5"/>
  <c r="S40" i="5"/>
  <c r="J40" i="5"/>
  <c r="N40" i="5"/>
  <c r="R40" i="5"/>
  <c r="I40" i="5"/>
  <c r="M40" i="5"/>
  <c r="Q40" i="5"/>
  <c r="U40" i="5"/>
  <c r="H38" i="5"/>
  <c r="P36" i="5"/>
  <c r="O36" i="5" s="1"/>
  <c r="N36" i="5" s="1"/>
  <c r="M36" i="5" s="1"/>
  <c r="L36" i="5" s="1"/>
  <c r="K36" i="5" s="1"/>
  <c r="J36" i="5" s="1"/>
  <c r="I36" i="5" s="1"/>
  <c r="T36" i="5"/>
  <c r="S36" i="5"/>
  <c r="R36" i="5"/>
  <c r="Q36" i="5"/>
  <c r="U36" i="5"/>
  <c r="H34" i="5"/>
  <c r="P32" i="5"/>
  <c r="O32" i="5" s="1"/>
  <c r="N32" i="5" s="1"/>
  <c r="M32" i="5" s="1"/>
  <c r="L32" i="5" s="1"/>
  <c r="K32" i="5" s="1"/>
  <c r="J32" i="5" s="1"/>
  <c r="I32" i="5" s="1"/>
  <c r="T32" i="5"/>
  <c r="S32" i="5"/>
  <c r="R32" i="5"/>
  <c r="Q32" i="5"/>
  <c r="U32" i="5"/>
  <c r="H30" i="5"/>
  <c r="P28" i="5"/>
  <c r="O28" i="5" s="1"/>
  <c r="N28" i="5" s="1"/>
  <c r="M28" i="5" s="1"/>
  <c r="L28" i="5" s="1"/>
  <c r="K28" i="5" s="1"/>
  <c r="J28" i="5" s="1"/>
  <c r="I28" i="5" s="1"/>
  <c r="T28" i="5"/>
  <c r="S28" i="5"/>
  <c r="R28" i="5"/>
  <c r="Q28" i="5"/>
  <c r="U28" i="5"/>
  <c r="H26" i="5"/>
  <c r="Q28" i="159"/>
  <c r="O29" i="159"/>
  <c r="P28" i="159"/>
  <c r="R29" i="159"/>
  <c r="O28" i="159"/>
  <c r="N28" i="159" s="1"/>
  <c r="M28" i="159" s="1"/>
  <c r="L28" i="159" s="1"/>
  <c r="K28" i="159" s="1"/>
  <c r="J28" i="159" s="1"/>
  <c r="I28" i="159" s="1"/>
  <c r="H28" i="159" s="1"/>
  <c r="G28" i="159" s="1"/>
  <c r="F28" i="159" s="1"/>
  <c r="D28" i="159" s="1"/>
  <c r="Q29" i="159"/>
  <c r="R28" i="159"/>
  <c r="H25" i="5"/>
  <c r="H9" i="5"/>
  <c r="H10" i="5"/>
  <c r="H19" i="5"/>
  <c r="H3" i="5"/>
  <c r="H24" i="5"/>
  <c r="H8" i="5"/>
  <c r="H14" i="5"/>
  <c r="H23" i="5"/>
  <c r="H7" i="5"/>
  <c r="H12" i="5"/>
  <c r="H13" i="5"/>
  <c r="H18" i="5"/>
  <c r="H11" i="5"/>
  <c r="H16" i="5"/>
  <c r="H17" i="5"/>
  <c r="H21" i="5"/>
  <c r="H5" i="5"/>
  <c r="H22" i="5"/>
  <c r="H6" i="5"/>
  <c r="H15" i="5"/>
  <c r="H20" i="5"/>
  <c r="H4" i="5"/>
  <c r="H2" i="5"/>
  <c r="N29" i="159" l="1"/>
  <c r="U23" i="5"/>
  <c r="T23" i="5" s="1"/>
  <c r="S23" i="5" s="1"/>
  <c r="R23" i="5" s="1"/>
  <c r="Q23" i="5" s="1"/>
  <c r="P23" i="5" s="1"/>
  <c r="O23" i="5" s="1"/>
  <c r="N23" i="5" s="1"/>
  <c r="M23" i="5" s="1"/>
  <c r="L23" i="5" s="1"/>
  <c r="K23" i="5" s="1"/>
  <c r="J23" i="5" s="1"/>
  <c r="I23" i="5" s="1"/>
  <c r="U15" i="5"/>
  <c r="T15" i="5" s="1"/>
  <c r="S15" i="5" s="1"/>
  <c r="R15" i="5" s="1"/>
  <c r="Q15" i="5" s="1"/>
  <c r="P15" i="5" s="1"/>
  <c r="O15" i="5" s="1"/>
  <c r="N15" i="5" s="1"/>
  <c r="M15" i="5" s="1"/>
  <c r="L15" i="5" s="1"/>
  <c r="K15" i="5" s="1"/>
  <c r="J15" i="5" s="1"/>
  <c r="I15" i="5" s="1"/>
  <c r="U18" i="5"/>
  <c r="T18" i="5" s="1"/>
  <c r="S18" i="5" s="1"/>
  <c r="R18" i="5" s="1"/>
  <c r="Q18" i="5" s="1"/>
  <c r="P18" i="5" s="1"/>
  <c r="O18" i="5" s="1"/>
  <c r="N18" i="5" s="1"/>
  <c r="M18" i="5" s="1"/>
  <c r="L18" i="5" s="1"/>
  <c r="K18" i="5" s="1"/>
  <c r="J18" i="5" s="1"/>
  <c r="I18" i="5" s="1"/>
  <c r="U13" i="5"/>
  <c r="T13" i="5" s="1"/>
  <c r="S13" i="5" s="1"/>
  <c r="R13" i="5" s="1"/>
  <c r="Q13" i="5" s="1"/>
  <c r="P13" i="5" s="1"/>
  <c r="O13" i="5" s="1"/>
  <c r="N13" i="5" s="1"/>
  <c r="M13" i="5" s="1"/>
  <c r="L13" i="5" s="1"/>
  <c r="K13" i="5" s="1"/>
  <c r="J13" i="5" s="1"/>
  <c r="I13" i="5" s="1"/>
  <c r="U16" i="5"/>
  <c r="T16" i="5" s="1"/>
  <c r="S16" i="5" s="1"/>
  <c r="R16" i="5" s="1"/>
  <c r="Q16" i="5" s="1"/>
  <c r="P16" i="5" s="1"/>
  <c r="O16" i="5" s="1"/>
  <c r="N16" i="5" s="1"/>
  <c r="M16" i="5" s="1"/>
  <c r="L16" i="5" s="1"/>
  <c r="K16" i="5" s="1"/>
  <c r="J16" i="5" s="1"/>
  <c r="I16" i="5" s="1"/>
  <c r="U19" i="5"/>
  <c r="T19" i="5" s="1"/>
  <c r="S19" i="5" s="1"/>
  <c r="R19" i="5" s="1"/>
  <c r="Q19" i="5" s="1"/>
  <c r="P19" i="5" s="1"/>
  <c r="O19" i="5" s="1"/>
  <c r="N19" i="5" s="1"/>
  <c r="M19" i="5" s="1"/>
  <c r="L19" i="5" s="1"/>
  <c r="K19" i="5" s="1"/>
  <c r="J19" i="5" s="1"/>
  <c r="I19" i="5" s="1"/>
  <c r="U22" i="5"/>
  <c r="T22" i="5" s="1"/>
  <c r="S22" i="5" s="1"/>
  <c r="R22" i="5" s="1"/>
  <c r="Q22" i="5" s="1"/>
  <c r="P22" i="5" s="1"/>
  <c r="O22" i="5" s="1"/>
  <c r="N22" i="5" s="1"/>
  <c r="M22" i="5" s="1"/>
  <c r="L22" i="5" s="1"/>
  <c r="K22" i="5" s="1"/>
  <c r="J22" i="5" s="1"/>
  <c r="I22" i="5" s="1"/>
  <c r="U17" i="5"/>
  <c r="T17" i="5" s="1"/>
  <c r="S17" i="5" s="1"/>
  <c r="R17" i="5" s="1"/>
  <c r="Q17" i="5" s="1"/>
  <c r="P17" i="5" s="1"/>
  <c r="O17" i="5" s="1"/>
  <c r="N17" i="5" s="1"/>
  <c r="M17" i="5" s="1"/>
  <c r="L17" i="5" s="1"/>
  <c r="K17" i="5" s="1"/>
  <c r="J17" i="5" s="1"/>
  <c r="I17" i="5" s="1"/>
  <c r="U20" i="5"/>
  <c r="T20" i="5" s="1"/>
  <c r="S20" i="5" s="1"/>
  <c r="R20" i="5" s="1"/>
  <c r="Q20" i="5" s="1"/>
  <c r="P20" i="5" s="1"/>
  <c r="O20" i="5" s="1"/>
  <c r="N20" i="5" s="1"/>
  <c r="M20" i="5" s="1"/>
  <c r="L20" i="5" s="1"/>
  <c r="K20" i="5" s="1"/>
  <c r="J20" i="5" s="1"/>
  <c r="I20" i="5" s="1"/>
  <c r="U21" i="5"/>
  <c r="T21" i="5" s="1"/>
  <c r="S21" i="5" s="1"/>
  <c r="R21" i="5" s="1"/>
  <c r="Q21" i="5" s="1"/>
  <c r="P21" i="5" s="1"/>
  <c r="O21" i="5" s="1"/>
  <c r="N21" i="5" s="1"/>
  <c r="M21" i="5" s="1"/>
  <c r="L21" i="5" s="1"/>
  <c r="K21" i="5" s="1"/>
  <c r="J21" i="5" s="1"/>
  <c r="I21" i="5" s="1"/>
  <c r="U24" i="5"/>
  <c r="T24" i="5" s="1"/>
  <c r="S24" i="5" s="1"/>
  <c r="R24" i="5" s="1"/>
  <c r="Q24" i="5" s="1"/>
  <c r="P24" i="5" s="1"/>
  <c r="O24" i="5" s="1"/>
  <c r="N24" i="5" s="1"/>
  <c r="M24" i="5" s="1"/>
  <c r="L24" i="5" s="1"/>
  <c r="K24" i="5" s="1"/>
  <c r="J24" i="5" s="1"/>
  <c r="I24" i="5" s="1"/>
  <c r="U14" i="5"/>
  <c r="T14" i="5" s="1"/>
  <c r="S14" i="5" s="1"/>
  <c r="R14" i="5" s="1"/>
  <c r="Q14" i="5" s="1"/>
  <c r="P14" i="5" s="1"/>
  <c r="O14" i="5" s="1"/>
  <c r="N14" i="5" s="1"/>
  <c r="M14" i="5" s="1"/>
  <c r="L14" i="5" s="1"/>
  <c r="K14" i="5" s="1"/>
  <c r="J14" i="5" s="1"/>
  <c r="I14" i="5" s="1"/>
  <c r="U25" i="5"/>
  <c r="T25" i="5" s="1"/>
  <c r="S25" i="5" s="1"/>
  <c r="R25" i="5" s="1"/>
  <c r="Q25" i="5" s="1"/>
  <c r="P25" i="5" s="1"/>
  <c r="O25" i="5" s="1"/>
  <c r="N25" i="5" s="1"/>
  <c r="M25" i="5" s="1"/>
  <c r="L25" i="5" s="1"/>
  <c r="K25" i="5" s="1"/>
  <c r="J25" i="5" s="1"/>
  <c r="I25" i="5" s="1"/>
  <c r="U12" i="5"/>
  <c r="T12" i="5" s="1"/>
  <c r="S12" i="5" s="1"/>
  <c r="R12" i="5" s="1"/>
  <c r="Q12" i="5" s="1"/>
  <c r="P12" i="5" s="1"/>
  <c r="O12" i="5" s="1"/>
  <c r="N12" i="5" s="1"/>
  <c r="M12" i="5" s="1"/>
  <c r="L12" i="5" s="1"/>
  <c r="K12" i="5" s="1"/>
  <c r="J12" i="5" s="1"/>
  <c r="I12" i="5" s="1"/>
  <c r="M29" i="159" l="1"/>
  <c r="U8" i="5"/>
  <c r="T8" i="5" s="1"/>
  <c r="S8" i="5" s="1"/>
  <c r="R8" i="5" s="1"/>
  <c r="Q8" i="5" s="1"/>
  <c r="P8" i="5" s="1"/>
  <c r="O8" i="5" s="1"/>
  <c r="N8" i="5" s="1"/>
  <c r="M8" i="5" s="1"/>
  <c r="L8" i="5" s="1"/>
  <c r="K8" i="5" s="1"/>
  <c r="J8" i="5" s="1"/>
  <c r="I8" i="5" s="1"/>
  <c r="U11" i="5"/>
  <c r="T11" i="5" s="1"/>
  <c r="S11" i="5" s="1"/>
  <c r="R11" i="5" s="1"/>
  <c r="Q11" i="5" s="1"/>
  <c r="P11" i="5" s="1"/>
  <c r="O11" i="5" s="1"/>
  <c r="N11" i="5" s="1"/>
  <c r="M11" i="5" s="1"/>
  <c r="L11" i="5" s="1"/>
  <c r="K11" i="5" s="1"/>
  <c r="J11" i="5" s="1"/>
  <c r="I11" i="5" s="1"/>
  <c r="U10" i="5"/>
  <c r="T10" i="5" s="1"/>
  <c r="S10" i="5" s="1"/>
  <c r="R10" i="5" s="1"/>
  <c r="Q10" i="5" s="1"/>
  <c r="P10" i="5" s="1"/>
  <c r="O10" i="5" s="1"/>
  <c r="N10" i="5" s="1"/>
  <c r="M10" i="5" s="1"/>
  <c r="L10" i="5" s="1"/>
  <c r="K10" i="5" s="1"/>
  <c r="J10" i="5" s="1"/>
  <c r="I10" i="5" s="1"/>
  <c r="U9" i="5"/>
  <c r="T9" i="5" s="1"/>
  <c r="S9" i="5" s="1"/>
  <c r="R9" i="5" s="1"/>
  <c r="Q9" i="5" s="1"/>
  <c r="P9" i="5" s="1"/>
  <c r="O9" i="5" s="1"/>
  <c r="N9" i="5" s="1"/>
  <c r="M9" i="5" s="1"/>
  <c r="L9" i="5" s="1"/>
  <c r="K9" i="5" s="1"/>
  <c r="J9" i="5" s="1"/>
  <c r="I9" i="5" s="1"/>
  <c r="U7" i="5"/>
  <c r="T7" i="5" s="1"/>
  <c r="S7" i="5" s="1"/>
  <c r="R7" i="5" s="1"/>
  <c r="Q7" i="5" s="1"/>
  <c r="P7" i="5" s="1"/>
  <c r="O7" i="5" s="1"/>
  <c r="N7" i="5" s="1"/>
  <c r="M7" i="5" s="1"/>
  <c r="L7" i="5" s="1"/>
  <c r="K7" i="5" s="1"/>
  <c r="J7" i="5" s="1"/>
  <c r="I7" i="5" s="1"/>
  <c r="U6" i="5"/>
  <c r="T6" i="5" s="1"/>
  <c r="S6" i="5" s="1"/>
  <c r="R6" i="5" s="1"/>
  <c r="Q6" i="5" s="1"/>
  <c r="P6" i="5" s="1"/>
  <c r="O6" i="5" s="1"/>
  <c r="N6" i="5" s="1"/>
  <c r="M6" i="5" s="1"/>
  <c r="L6" i="5" s="1"/>
  <c r="K6" i="5" s="1"/>
  <c r="J6" i="5" s="1"/>
  <c r="I6" i="5" s="1"/>
  <c r="U5" i="5"/>
  <c r="T5" i="5" s="1"/>
  <c r="S5" i="5" s="1"/>
  <c r="R5" i="5" s="1"/>
  <c r="Q5" i="5" s="1"/>
  <c r="P5" i="5" s="1"/>
  <c r="O5" i="5" s="1"/>
  <c r="N5" i="5" s="1"/>
  <c r="M5" i="5" s="1"/>
  <c r="L5" i="5" s="1"/>
  <c r="K5" i="5" s="1"/>
  <c r="J5" i="5" s="1"/>
  <c r="I5" i="5" s="1"/>
  <c r="U4" i="5"/>
  <c r="T4" i="5" s="1"/>
  <c r="S4" i="5" s="1"/>
  <c r="R4" i="5" s="1"/>
  <c r="Q4" i="5" s="1"/>
  <c r="P4" i="5" s="1"/>
  <c r="O4" i="5" s="1"/>
  <c r="N4" i="5" s="1"/>
  <c r="M4" i="5" s="1"/>
  <c r="L4" i="5" s="1"/>
  <c r="K4" i="5" s="1"/>
  <c r="J4" i="5" s="1"/>
  <c r="I4" i="5" s="1"/>
  <c r="U3" i="5"/>
  <c r="T3" i="5" s="1"/>
  <c r="S3" i="5" s="1"/>
  <c r="R3" i="5" s="1"/>
  <c r="Q3" i="5" s="1"/>
  <c r="P3" i="5" s="1"/>
  <c r="O3" i="5" s="1"/>
  <c r="N3" i="5" s="1"/>
  <c r="M3" i="5" s="1"/>
  <c r="L3" i="5" s="1"/>
  <c r="K3" i="5" s="1"/>
  <c r="J3" i="5" s="1"/>
  <c r="I3" i="5" s="1"/>
  <c r="L29" i="159" l="1"/>
  <c r="K29" i="159" l="1"/>
  <c r="J29" i="159" s="1"/>
  <c r="U2" i="5"/>
  <c r="T2" i="5" s="1"/>
  <c r="S2" i="5" s="1"/>
  <c r="R2" i="5" s="1"/>
  <c r="Q2" i="5" s="1"/>
  <c r="P2" i="5" s="1"/>
  <c r="O2" i="5" s="1"/>
  <c r="N2" i="5" s="1"/>
  <c r="M2" i="5" s="1"/>
  <c r="L2" i="5" s="1"/>
  <c r="K2" i="5" s="1"/>
  <c r="J2" i="5" s="1"/>
  <c r="I2" i="5" s="1"/>
  <c r="I29" i="159" l="1"/>
  <c r="H29" i="159" s="1"/>
  <c r="G29" i="159" l="1"/>
  <c r="F29" i="159" l="1"/>
  <c r="D29" i="159" s="1"/>
</calcChain>
</file>

<file path=xl/sharedStrings.xml><?xml version="1.0" encoding="utf-8"?>
<sst xmlns="http://schemas.openxmlformats.org/spreadsheetml/2006/main" count="161" uniqueCount="94">
  <si>
    <t>Research</t>
  </si>
  <si>
    <t>Concept</t>
  </si>
  <si>
    <t>Total</t>
  </si>
  <si>
    <t>Realisation</t>
  </si>
  <si>
    <t>Presentation</t>
  </si>
  <si>
    <t>Understanding</t>
  </si>
  <si>
    <t>Participation</t>
  </si>
  <si>
    <t>Consistently outstanding, exceptionally high standard, trivial defects only. Fulfils the grade A criteria but at a quite exceptional standard.</t>
  </si>
  <si>
    <t>Some outstanding and exceptional standards, only a few minor defects. Work of high quality that displays most but not all A grade qualities.</t>
  </si>
  <si>
    <t>Excellent work, some minor defects. Clearly demonstrates B grade qualities but reveals greater insight and more originality.</t>
  </si>
  <si>
    <t>Achieved in full, with broad skills acquisition and/or use throughout the module and demonstrating a considerable learning experience.</t>
  </si>
  <si>
    <t>High standard of work, but with one or two significant deficiencies. Contains most of the B grade qualities with less insight and originality.</t>
  </si>
  <si>
    <t>Good creditable work, but with a few notable defects. C grade qualities but with greater critical analysis and originality.</t>
  </si>
  <si>
    <t>Substantially achieved, with an adequate learning experience, but possibly with some weakness in understanding or application within the module.</t>
  </si>
  <si>
    <t>Sound, but with a number of shortcomings. Demonstrates C grade qualities but contains less critical analysis and little or no originality.</t>
  </si>
  <si>
    <t>Fair standard, but with a number of shortcomings. Lacks sufficient analysis and interpretation to warrant a C grade.</t>
  </si>
  <si>
    <t>At the threshold of Honours, a number of significant shortcomings.</t>
  </si>
  <si>
    <t>Poor skills acquisition and/or use during the module. The learning outcomes not achieved, and with an inadequate or no learning experience.</t>
  </si>
  <si>
    <t>Little or no skills acquisition and/or use in the module</t>
  </si>
  <si>
    <t>Clear and well organised evidence of extensive, thorough and highly appropriate research and preparation, leading to real discovery and intelligent reaction to it. Clear demonstration of a thorough understanding of the importance of research and preparation and its application to the work submitted. Strong evidence of personal initiatives.</t>
  </si>
  <si>
    <t>Clear evidence of thorough and appropriate research and preparation, together with evidence of appropriate use and reaction to it. Evidence of an understanding of the importance of research and preparation and its application to the work submitted. Evidence of initiatives taken.</t>
  </si>
  <si>
    <t>Little or no evidence of any appropriate research and preparation, or of its use and reaction to it. Inadequate initiative. Little or no documentation of research.</t>
  </si>
  <si>
    <t>No evidence of appropriate initiative. Failure to undertake research and preparation detailed in either the assignment or module documentation.</t>
  </si>
  <si>
    <t xml:space="preserve">Substantial and extensive evidence of high levels of relevant reflection and critical evaluation through supporting work, (such as notebooks, reports, worksheets and subject specific records). </t>
  </si>
  <si>
    <t xml:space="preserve">Evidence of adequate levels of reflection and evaluation through supporting work, such as notebooks, reports, worksheets and subject specific records. </t>
  </si>
  <si>
    <t xml:space="preserve">Some evidence of adequate reflection and evaluation through supporting work, such as notebooks, reports, worksheets, and subject specific records. </t>
  </si>
  <si>
    <t xml:space="preserve">Deficiency or absence of evidence of visualisation and development through supporting work, such as notebooks, reports, worksheets and subject specific records. </t>
  </si>
  <si>
    <t xml:space="preserve">Plagiarism </t>
  </si>
  <si>
    <t>A clear and extensive demonstration of the generation of innovation ideas, solutions and alternatives-and of deep learning.</t>
  </si>
  <si>
    <t>Considerable demonstrable evidence of the generation of ideas, solutions and alternatives-and of learning.</t>
  </si>
  <si>
    <t>Satisfactory evidence of generation of ideas and solutions, but perhaps not developed conclusively, or not based on altogether sound principles.</t>
  </si>
  <si>
    <t>Incomplete or superficial evidence of idea generation.</t>
  </si>
  <si>
    <t>Little or no back up work, or evidence of originality.</t>
  </si>
  <si>
    <t>Incomplete submission.</t>
  </si>
  <si>
    <t>High proficiency in the execution of the finished work. Extensive competence in appropriate hand/technical skills. Comprehensive evidence of success in achieving defined suitability of purpose. Eloquent, well prepared and appropriate personal presentation. Strong evidence of positive reflection evaluation.</t>
  </si>
  <si>
    <t>Proficient in the execution of the finished work. Competence in appropriate hand/technical skills. Positive evidence of success in achieving defined suitability of purpose. Well prepared and appropriate personal presentation. Evidence of positive reflective evaluation.</t>
  </si>
  <si>
    <t>Adequate execution of the finished work. Some competence in hand/technical skills. Some indications of success in achieving defined suitability of purpose. Acceptable personal presentation skills. There may be limitations of deficiencies in one or more of these aspects of presentation and solution.</t>
  </si>
  <si>
    <t>Unresolved or incomplete execution of the finished work. Deficiencies in hand/technical skills. Doubtful or absent indications of success in achieving suitability of purpose. Some development in personal presentation skills still lacking.</t>
  </si>
  <si>
    <t>Incomplete execution of the finished work. Poor standards in hand/technical skills. Failure to achieve a minimum level of suitability for purpose skills.</t>
  </si>
  <si>
    <t>Unacceptable standards in hand/technical skills. Non/late submission of finished work, or failure to present work (zero mark).</t>
  </si>
  <si>
    <t>A deep and thorough understanding of the design issues and the ability to comprehend them in the context of the brief or assignment, and in the wider context. A demonstrable involvement with the learning.</t>
  </si>
  <si>
    <t>A full understanding of the design issues and the ability to comprehend them in the context of the brief or assignment, and in the wider context.</t>
  </si>
  <si>
    <t>Satisfactory understanding of the design issues in the context of the brief or assignment, possibly with a superficial approach to related issues; the significance of the learning targets may not be fully appreciated, and the learning is ‘strategic’ or superficial.</t>
  </si>
  <si>
    <t>A minimum level of understanding of design issues in the context of the brief or assignment, and deficient or fragmentary evidence of learning.</t>
  </si>
  <si>
    <t>A poor understanding of the design issues in the context of the brief or assignment, and no substantial evidence of learning.</t>
  </si>
  <si>
    <t>A very poor (or total lack of) understanding of the design issues in the context of the brief or assignment, and little evidence of learning.</t>
  </si>
  <si>
    <t>A full and active participation in the learning experience, sharing with, and learning from others. Consistent high level of contribution to the group experience.</t>
  </si>
  <si>
    <t>A full and active participation in the learning experience, sharing with and learning from others. A regular contributor to the group experience.</t>
  </si>
  <si>
    <t>Adequate participation in the learning experience. A limited contributor to the group experience.</t>
  </si>
  <si>
    <t>Some participation in the learning experience with occasional, infrequent or perhaps inappropriate contribution to the group experience.</t>
  </si>
  <si>
    <t>Little or no participation in the learning experience. Poor and inappropriate attendance to the formats of learning required in the module.</t>
  </si>
  <si>
    <t>A+</t>
  </si>
  <si>
    <t>A</t>
  </si>
  <si>
    <t>A-</t>
  </si>
  <si>
    <t>B+</t>
  </si>
  <si>
    <t>B</t>
  </si>
  <si>
    <t>B-</t>
  </si>
  <si>
    <t>C+</t>
  </si>
  <si>
    <t>C</t>
  </si>
  <si>
    <t>C-</t>
  </si>
  <si>
    <t>D+</t>
  </si>
  <si>
    <t>D</t>
  </si>
  <si>
    <t>D-</t>
  </si>
  <si>
    <t>E</t>
  </si>
  <si>
    <t>F</t>
  </si>
  <si>
    <t xml:space="preserve">Adequate research and preparation. Research may be of a somewhat predictable type and narrow in scope. Evidence of preparation present but limited and possibly </t>
  </si>
  <si>
    <t xml:space="preserve">Some evidence of research and preparation, its use and reaction to it, but which may have constricted the creative output. Minimal documentation of research and evidence </t>
  </si>
  <si>
    <t>Overall</t>
  </si>
  <si>
    <t xml:space="preserve">Achieved in full to the highest standards with comprehensive skills acquisition and/or use throughout the module and demonstrating a complete and profitable learning </t>
  </si>
  <si>
    <t xml:space="preserve">Substantially achieved but with inadequate learning experiences and/or identified weaknesses in understanding and application within the module. Limited or deficient </t>
  </si>
  <si>
    <t xml:space="preserve">Considerable evidence of appropriate levels of relevant reflection and critical evaluation through supporting work, (such as notebooks, reports, worksheets and subject </t>
  </si>
  <si>
    <t>Total SF</t>
  </si>
  <si>
    <t>Date</t>
  </si>
  <si>
    <t>Initial Ideas</t>
  </si>
  <si>
    <t>Development</t>
  </si>
  <si>
    <t>Pride</t>
  </si>
  <si>
    <t>Project 1</t>
  </si>
  <si>
    <t>Project 2</t>
  </si>
  <si>
    <t xml:space="preserve">Award 1 </t>
  </si>
  <si>
    <t>Award 2</t>
  </si>
  <si>
    <t xml:space="preserve">Module Total </t>
  </si>
  <si>
    <t>Marking Criteria Project 1</t>
  </si>
  <si>
    <t>Marking Criteria Project 2</t>
  </si>
  <si>
    <t>Matric number</t>
  </si>
  <si>
    <t>Email Address</t>
  </si>
  <si>
    <t>Marking Template</t>
  </si>
  <si>
    <t>Research SF</t>
  </si>
  <si>
    <t>Initial Ideas SF</t>
  </si>
  <si>
    <t>Development SF</t>
  </si>
  <si>
    <t>Presentation SF</t>
  </si>
  <si>
    <t>Pride SF</t>
  </si>
  <si>
    <r>
      <t>Jack Brady</t>
    </r>
    <r>
      <rPr>
        <sz val="12.1"/>
        <color rgb="FF333333"/>
        <rFont val="Arial"/>
        <family val="2"/>
      </rPr>
      <t/>
    </r>
  </si>
  <si>
    <t>Monika Georgieva</t>
  </si>
  <si>
    <t>Natalie Kubiszyn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</si>
</sst>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sz val="12"/>
      <color theme="1"/>
      <name val="Century Gothic"/>
      <family val="2"/>
    </font>
    <font>
      <sz val="11"/>
      <color theme="1"/>
      <name val="Century Gothic"/>
      <family val="2"/>
    </font>
    <font>
      <b/>
      <sz val="11"/>
      <color theme="1"/>
      <name val="Calibri"/>
      <family val="2"/>
      <scheme val="minor"/>
    </font>
    <font>
      <sz val="14"/>
      <color theme="1"/>
      <name val="Calibri"/>
      <family val="2"/>
      <scheme val="minor"/>
    </font>
    <font>
      <sz val="10"/>
      <color rgb="FF000000"/>
      <name val="Century Gothic"/>
      <family val="2"/>
    </font>
    <font>
      <b/>
      <sz val="11"/>
      <color theme="1"/>
      <name val="Century Gothic"/>
      <family val="2"/>
    </font>
    <font>
      <b/>
      <sz val="12"/>
      <name val="Century Gothic"/>
      <family val="2"/>
    </font>
    <font>
      <sz val="11"/>
      <color rgb="FF000000"/>
      <name val="Century Gothic"/>
      <family val="2"/>
    </font>
    <font>
      <sz val="12.1"/>
      <color rgb="FF333333"/>
      <name val="Arial"/>
      <family val="2"/>
    </font>
    <font>
      <sz val="11"/>
      <name val="Arial"/>
      <family val="2"/>
    </font>
  </fonts>
  <fills count="4">
    <fill>
      <patternFill patternType="none"/>
    </fill>
    <fill>
      <patternFill patternType="gray125"/>
    </fill>
    <fill>
      <patternFill patternType="solid">
        <fgColor rgb="FFF9F9F9"/>
        <bgColor indexed="64"/>
      </patternFill>
    </fill>
    <fill>
      <patternFill patternType="solid">
        <fgColor rgb="FFFFFFFF"/>
        <bgColor indexed="64"/>
      </patternFill>
    </fill>
  </fills>
  <borders count="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rgb="FFDDDDDD"/>
      </left>
      <right style="medium">
        <color rgb="FFDDDDDD"/>
      </right>
      <top style="medium">
        <color rgb="FFDDDDDD"/>
      </top>
      <bottom style="medium">
        <color rgb="FFDDDDDD"/>
      </bottom>
      <diagonal/>
    </border>
    <border>
      <left/>
      <right style="medium">
        <color rgb="FFDDDDDD"/>
      </right>
      <top/>
      <bottom style="medium">
        <color rgb="FFDDDDDD"/>
      </bottom>
      <diagonal/>
    </border>
    <border>
      <left/>
      <right style="medium">
        <color rgb="FFDDDDDD"/>
      </right>
      <top style="medium">
        <color rgb="FFDDDDDD"/>
      </top>
      <bottom style="medium">
        <color rgb="FFDDDDDD"/>
      </bottom>
      <diagonal/>
    </border>
  </borders>
  <cellStyleXfs count="1">
    <xf numFmtId="0" fontId="0" fillId="0" borderId="0"/>
  </cellStyleXfs>
  <cellXfs count="23">
    <xf numFmtId="0" fontId="0" fillId="0" borderId="0" xfId="0"/>
    <xf numFmtId="0" fontId="2" fillId="0" borderId="2" xfId="0" applyFont="1" applyBorder="1" applyProtection="1"/>
    <xf numFmtId="0" fontId="2" fillId="0" borderId="0" xfId="0" applyFont="1"/>
    <xf numFmtId="0" fontId="0" fillId="0" borderId="0" xfId="0" applyAlignment="1">
      <alignment wrapText="1"/>
    </xf>
    <xf numFmtId="1" fontId="0" fillId="0" borderId="0" xfId="0" applyNumberFormat="1"/>
    <xf numFmtId="0" fontId="2" fillId="0" borderId="0" xfId="0" applyFont="1" applyBorder="1" applyProtection="1"/>
    <xf numFmtId="14" fontId="0" fillId="0" borderId="0" xfId="0" applyNumberFormat="1"/>
    <xf numFmtId="0" fontId="0" fillId="0" borderId="0" xfId="0" applyFill="1" applyBorder="1"/>
    <xf numFmtId="0" fontId="3" fillId="0" borderId="0" xfId="0" applyFont="1"/>
    <xf numFmtId="1" fontId="1" fillId="0" borderId="1" xfId="0" applyNumberFormat="1" applyFont="1" applyFill="1" applyBorder="1" applyAlignment="1" applyProtection="1">
      <alignment vertical="center" wrapText="1"/>
    </xf>
    <xf numFmtId="1" fontId="0" fillId="0" borderId="0" xfId="0" applyNumberFormat="1" applyFill="1" applyBorder="1"/>
    <xf numFmtId="0" fontId="6" fillId="0" borderId="0" xfId="0" applyFont="1"/>
    <xf numFmtId="0" fontId="2" fillId="0" borderId="0" xfId="0" applyFont="1" applyBorder="1"/>
    <xf numFmtId="0" fontId="4" fillId="0" borderId="3" xfId="0" applyFont="1" applyBorder="1" applyAlignment="1">
      <alignment vertical="center" wrapText="1"/>
    </xf>
    <xf numFmtId="0" fontId="2" fillId="0" borderId="0" xfId="0" applyFont="1" applyFill="1" applyBorder="1"/>
    <xf numFmtId="1" fontId="5" fillId="0" borderId="0" xfId="0" applyNumberFormat="1" applyFont="1" applyBorder="1" applyAlignment="1">
      <alignment vertical="center" wrapText="1"/>
    </xf>
    <xf numFmtId="0" fontId="7" fillId="0" borderId="0" xfId="0" applyFont="1"/>
    <xf numFmtId="0" fontId="4" fillId="0" borderId="0" xfId="0" applyFont="1" applyBorder="1" applyAlignment="1">
      <alignment vertical="center" wrapText="1"/>
    </xf>
    <xf numFmtId="0" fontId="10" fillId="2" borderId="4" xfId="0" applyFont="1" applyFill="1" applyBorder="1" applyAlignment="1">
      <alignment vertical="top" wrapText="1"/>
    </xf>
    <xf numFmtId="0" fontId="10" fillId="3" borderId="5" xfId="0" applyFont="1" applyFill="1" applyBorder="1" applyAlignment="1">
      <alignment vertical="center"/>
    </xf>
    <xf numFmtId="0" fontId="10" fillId="2" borderId="5" xfId="0" applyFont="1" applyFill="1" applyBorder="1" applyAlignment="1">
      <alignment vertical="center"/>
    </xf>
    <xf numFmtId="0" fontId="10" fillId="3" borderId="4" xfId="0" applyFont="1" applyFill="1" applyBorder="1" applyAlignment="1">
      <alignment vertical="top" wrapText="1"/>
    </xf>
    <xf numFmtId="0" fontId="10" fillId="3" borderId="6" xfId="0" applyFont="1" applyFill="1" applyBorder="1" applyAlignment="1">
      <alignment vertical="center"/>
    </xf>
  </cellXfs>
  <cellStyles count="1">
    <cellStyle name="Normal" xfId="0" builtinId="0"/>
  </cellStyles>
  <dxfs count="0"/>
  <tableStyles count="0" defaultTableStyle="TableStyleMedium2" defaultPivotStyle="PivotStyleLight16"/>
  <colors>
    <mruColors>
      <color rgb="FFFFB400"/>
      <color rgb="FFFF9200"/>
      <color rgb="FFFF3300"/>
      <color rgb="FFFF6600"/>
      <color rgb="FF0E6C58"/>
      <color rgb="FF8E752C"/>
      <color rgb="FFB74B2C"/>
      <color rgb="FFFFC100"/>
      <color rgb="FF7D9650"/>
      <color rgb="FF4182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activeX/activeX4.xml><?xml version="1.0" encoding="utf-8"?>
<ax:ocx xmlns:ax="http://schemas.microsoft.com/office/2006/activeX" xmlns:r="http://schemas.openxmlformats.org/officeDocument/2006/relationships" ax:classid="{DFD181E0-5E2F-11CE-A449-00AA004A803D}" ax:persistence="persistStreamInit" r:id="rId1"/>
</file>

<file path=xl/activeX/activeX5.xml><?xml version="1.0" encoding="utf-8"?>
<ax:ocx xmlns:ax="http://schemas.microsoft.com/office/2006/activeX" xmlns:r="http://schemas.openxmlformats.org/officeDocument/2006/relationships" ax:classid="{DFD181E0-5E2F-11CE-A449-00AA004A803D}" ax:persistence="persistStreamInit" r:id="rId1"/>
</file>

<file path=xl/activeX/activeX6.xml><?xml version="1.0" encoding="utf-8"?>
<ax:ocx xmlns:ax="http://schemas.microsoft.com/office/2006/activeX" xmlns:r="http://schemas.openxmlformats.org/officeDocument/2006/relationships" ax:classid="{DFD181E0-5E2F-11CE-A449-00AA004A803D}" ax:persistence="persistStreamInit" r:id="rId1"/>
</file>

<file path=xl/activeX/activeX7.xml><?xml version="1.0" encoding="utf-8"?>
<ax:ocx xmlns:ax="http://schemas.microsoft.com/office/2006/activeX" xmlns:r="http://schemas.openxmlformats.org/officeDocument/2006/relationships" ax:classid="{DFD181E0-5E2F-11CE-A449-00AA004A803D}" ax:persistence="persistStreamInit" r:id="rId1"/>
</file>

<file path=xl/activeX/activeX8.xml><?xml version="1.0" encoding="utf-8"?>
<ax:ocx xmlns:ax="http://schemas.microsoft.com/office/2006/activeX" xmlns:r="http://schemas.openxmlformats.org/officeDocument/2006/relationships" ax:classid="{DFD181E0-5E2F-11CE-A449-00AA004A803D}" ax:persistence="persistStreamInit" r:id="rId1"/>
</file>

<file path=xl/activeX/activeX9.xml><?xml version="1.0" encoding="utf-8"?>
<ax:ocx xmlns:ax="http://schemas.microsoft.com/office/2006/activeX" xmlns:r="http://schemas.openxmlformats.org/officeDocument/2006/relationships" ax:classid="{DFD181E0-5E2F-11CE-A449-00AA004A803D}" ax:persistence="persistStreamInit" r:id="rId1"/>
</file>

<file path=xl/activeX/activeX10.xml><?xml version="1.0" encoding="utf-8"?>
<ax:ocx xmlns:ax="http://schemas.microsoft.com/office/2006/activeX" xmlns:r="http://schemas.openxmlformats.org/officeDocument/2006/relationships" ax:classid="{DFD181E0-5E2F-11CE-A449-00AA004A803D}"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677410053542006"/>
          <c:y val="0.17788481695330638"/>
          <c:w val="0.5104767920052774"/>
          <c:h val="0.6929884581124276"/>
        </c:manualLayout>
      </c:layout>
      <c:radarChart>
        <c:radarStyle val="filled"/>
        <c:varyColors val="0"/>
        <c:ser>
          <c:idx val="0"/>
          <c:order val="0"/>
          <c:spPr>
            <a:solidFill>
              <a:srgbClr val="00B0F0">
                <a:alpha val="50000"/>
              </a:srgbClr>
            </a:solidFill>
          </c:spPr>
          <c:cat>
            <c:strRef>
              <c:f>('Marking Template'!$B$30,'Marking Template'!$B$32,'Marking Template'!$B$34,'Marking Template'!$B$36,'Marking Template'!$B$38)</c:f>
              <c:strCache>
                <c:ptCount val="5"/>
                <c:pt idx="0">
                  <c:v>Research</c:v>
                </c:pt>
                <c:pt idx="1">
                  <c:v>Initial Ideas</c:v>
                </c:pt>
                <c:pt idx="2">
                  <c:v>Development</c:v>
                </c:pt>
                <c:pt idx="3">
                  <c:v>Presentation</c:v>
                </c:pt>
                <c:pt idx="4">
                  <c:v>Pride</c:v>
                </c:pt>
              </c:strCache>
            </c:strRef>
          </c:cat>
          <c:val>
            <c:numRef>
              <c:f>('Marking Template'!$C$30,'Marking Template'!$C$32,'Marking Template'!$C$34,'Marking Template'!$C$36,'Marking Template'!$C$38)</c:f>
              <c:numCache>
                <c:formatCode>0</c:formatCode>
                <c:ptCount val="5"/>
                <c:pt idx="0">
                  <c:v>50</c:v>
                </c:pt>
                <c:pt idx="1">
                  <c:v>50</c:v>
                </c:pt>
                <c:pt idx="2">
                  <c:v>50</c:v>
                </c:pt>
                <c:pt idx="3">
                  <c:v>50</c:v>
                </c:pt>
                <c:pt idx="4">
                  <c:v>50</c:v>
                </c:pt>
              </c:numCache>
            </c:numRef>
          </c:val>
          <c:extLst>
            <c:ext xmlns:c16="http://schemas.microsoft.com/office/drawing/2014/chart" uri="{C3380CC4-5D6E-409C-BE32-E72D297353CC}">
              <c16:uniqueId val="{00000000-B9B4-47BA-9424-E76B2E08B369}"/>
            </c:ext>
          </c:extLst>
        </c:ser>
        <c:dLbls>
          <c:showLegendKey val="0"/>
          <c:showVal val="0"/>
          <c:showCatName val="0"/>
          <c:showSerName val="0"/>
          <c:showPercent val="0"/>
          <c:showBubbleSize val="0"/>
        </c:dLbls>
        <c:axId val="133053056"/>
        <c:axId val="133071616"/>
      </c:radarChart>
      <c:catAx>
        <c:axId val="133053056"/>
        <c:scaling>
          <c:orientation val="minMax"/>
        </c:scaling>
        <c:delete val="0"/>
        <c:axPos val="b"/>
        <c:majorGridlines/>
        <c:numFmt formatCode="@" sourceLinked="0"/>
        <c:majorTickMark val="out"/>
        <c:minorTickMark val="none"/>
        <c:tickLblPos val="none"/>
        <c:crossAx val="133071616"/>
        <c:crosses val="autoZero"/>
        <c:auto val="1"/>
        <c:lblAlgn val="ctr"/>
        <c:lblOffset val="100"/>
        <c:noMultiLvlLbl val="0"/>
      </c:catAx>
      <c:valAx>
        <c:axId val="133071616"/>
        <c:scaling>
          <c:orientation val="minMax"/>
          <c:max val="80"/>
          <c:min val="0"/>
        </c:scaling>
        <c:delete val="0"/>
        <c:axPos val="l"/>
        <c:majorGridlines>
          <c:spPr>
            <a:ln>
              <a:prstDash val="lgDashDotDot"/>
            </a:ln>
          </c:spPr>
        </c:majorGridlines>
        <c:minorGridlines/>
        <c:numFmt formatCode="@" sourceLinked="0"/>
        <c:majorTickMark val="cross"/>
        <c:minorTickMark val="cross"/>
        <c:tickLblPos val="none"/>
        <c:spPr>
          <a:ln w="38100">
            <a:solidFill>
              <a:schemeClr val="tx1">
                <a:lumMod val="50000"/>
                <a:lumOff val="50000"/>
              </a:schemeClr>
            </a:solidFill>
            <a:prstDash val="solid"/>
          </a:ln>
        </c:spPr>
        <c:crossAx val="133053056"/>
        <c:crosses val="autoZero"/>
        <c:crossBetween val="between"/>
        <c:majorUnit val="20"/>
        <c:minorUnit val="20"/>
      </c:valAx>
    </c:plotArea>
    <c:plotVisOnly val="0"/>
    <c:dispBlanksAs val="gap"/>
    <c:showDLblsOverMax val="0"/>
  </c:chart>
  <c:printSettings>
    <c:headerFooter/>
    <c:pageMargins b="0.75000000000000222" l="0.70000000000000062" r="0.70000000000000062" t="0.75000000000000222"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485886233917755"/>
          <c:y val="0.21951668774244132"/>
          <c:w val="0.5104767920052774"/>
          <c:h val="0.6929884581124276"/>
        </c:manualLayout>
      </c:layout>
      <c:radarChart>
        <c:radarStyle val="filled"/>
        <c:varyColors val="0"/>
        <c:ser>
          <c:idx val="0"/>
          <c:order val="0"/>
          <c:spPr>
            <a:solidFill>
              <a:srgbClr val="00B0F0">
                <a:alpha val="50000"/>
              </a:srgbClr>
            </a:solidFill>
          </c:spPr>
          <c:cat>
            <c:strRef>
              <c:f>('Marking Template'!$B$61,'Marking Template'!$B$63,'Marking Template'!$B$65,'Marking Template'!$B$67,'Marking Template'!$B$69)</c:f>
              <c:strCache>
                <c:ptCount val="5"/>
                <c:pt idx="0">
                  <c:v>Research</c:v>
                </c:pt>
                <c:pt idx="1">
                  <c:v>Initial Ideas</c:v>
                </c:pt>
                <c:pt idx="2">
                  <c:v>Development</c:v>
                </c:pt>
                <c:pt idx="3">
                  <c:v>Presentation</c:v>
                </c:pt>
                <c:pt idx="4">
                  <c:v>Pride</c:v>
                </c:pt>
              </c:strCache>
            </c:strRef>
          </c:cat>
          <c:val>
            <c:numRef>
              <c:f>('Marking Template'!$C$61,'Marking Template'!$C$63,'Marking Template'!$C$65,'Marking Template'!$C$67,'Marking Template'!$C$69)</c:f>
              <c:numCache>
                <c:formatCode>0</c:formatCode>
                <c:ptCount val="5"/>
                <c:pt idx="0">
                  <c:v>50</c:v>
                </c:pt>
                <c:pt idx="1">
                  <c:v>50</c:v>
                </c:pt>
                <c:pt idx="2">
                  <c:v>50</c:v>
                </c:pt>
                <c:pt idx="3">
                  <c:v>50</c:v>
                </c:pt>
                <c:pt idx="4">
                  <c:v>50</c:v>
                </c:pt>
              </c:numCache>
            </c:numRef>
          </c:val>
          <c:extLst>
            <c:ext xmlns:c16="http://schemas.microsoft.com/office/drawing/2014/chart" uri="{C3380CC4-5D6E-409C-BE32-E72D297353CC}">
              <c16:uniqueId val="{00000000-E3A9-4667-8BAB-C23E8B0EA138}"/>
            </c:ext>
          </c:extLst>
        </c:ser>
        <c:dLbls>
          <c:showLegendKey val="0"/>
          <c:showVal val="0"/>
          <c:showCatName val="0"/>
          <c:showSerName val="0"/>
          <c:showPercent val="0"/>
          <c:showBubbleSize val="0"/>
        </c:dLbls>
        <c:axId val="133130112"/>
        <c:axId val="133131648"/>
      </c:radarChart>
      <c:catAx>
        <c:axId val="133130112"/>
        <c:scaling>
          <c:orientation val="minMax"/>
        </c:scaling>
        <c:delete val="0"/>
        <c:axPos val="b"/>
        <c:majorGridlines/>
        <c:numFmt formatCode="@" sourceLinked="0"/>
        <c:majorTickMark val="out"/>
        <c:minorTickMark val="none"/>
        <c:tickLblPos val="none"/>
        <c:crossAx val="133131648"/>
        <c:crosses val="autoZero"/>
        <c:auto val="1"/>
        <c:lblAlgn val="ctr"/>
        <c:lblOffset val="100"/>
        <c:noMultiLvlLbl val="0"/>
      </c:catAx>
      <c:valAx>
        <c:axId val="133131648"/>
        <c:scaling>
          <c:orientation val="minMax"/>
          <c:max val="80"/>
          <c:min val="0"/>
        </c:scaling>
        <c:delete val="0"/>
        <c:axPos val="l"/>
        <c:majorGridlines>
          <c:spPr>
            <a:ln>
              <a:prstDash val="lgDashDotDot"/>
            </a:ln>
          </c:spPr>
        </c:majorGridlines>
        <c:minorGridlines/>
        <c:numFmt formatCode="@" sourceLinked="0"/>
        <c:majorTickMark val="cross"/>
        <c:minorTickMark val="cross"/>
        <c:tickLblPos val="none"/>
        <c:spPr>
          <a:ln w="38100">
            <a:solidFill>
              <a:schemeClr val="tx1">
                <a:lumMod val="50000"/>
                <a:lumOff val="50000"/>
              </a:schemeClr>
            </a:solidFill>
            <a:prstDash val="solid"/>
          </a:ln>
        </c:spPr>
        <c:crossAx val="133130112"/>
        <c:crosses val="autoZero"/>
        <c:crossBetween val="between"/>
        <c:majorUnit val="20"/>
        <c:minorUnit val="20"/>
      </c:valAx>
    </c:plotArea>
    <c:plotVisOnly val="0"/>
    <c:dispBlanksAs val="gap"/>
    <c:showDLblsOverMax val="0"/>
  </c:chart>
  <c:printSettings>
    <c:headerFooter/>
    <c:pageMargins b="0.75000000000000222" l="0.70000000000000062" r="0.70000000000000062" t="0.75000000000000222" header="0.30000000000000032" footer="0.30000000000000032"/>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8" Type="http://schemas.openxmlformats.org/officeDocument/2006/relationships/hyperlink" Target="http://moodle.napier.ac.uk/grade/report/singleview/index.php?id=21402&amp;itemid=50908&amp;item=user" TargetMode="External"/><Relationship Id="rId13" Type="http://schemas.openxmlformats.org/officeDocument/2006/relationships/hyperlink" Target="http://moodle.napier.ac.uk/grade/report/user/index.php?userid=50997&amp;id=21402" TargetMode="External"/><Relationship Id="rId18" Type="http://schemas.openxmlformats.org/officeDocument/2006/relationships/hyperlink" Target="http://moodle.napier.ac.uk/grade/report/singleview/index.php?id=21402&amp;itemid=51075&amp;item=user" TargetMode="External"/><Relationship Id="rId3" Type="http://schemas.openxmlformats.org/officeDocument/2006/relationships/hyperlink" Target="http://moodle.napier.ac.uk/grade/report/user/index.php?userid=50912&amp;id=21402" TargetMode="External"/><Relationship Id="rId21" Type="http://schemas.openxmlformats.org/officeDocument/2006/relationships/hyperlink" Target="http://moodle.napier.ac.uk/grade/report/user/index.php?userid=51015&amp;id=21402" TargetMode="External"/><Relationship Id="rId7" Type="http://schemas.openxmlformats.org/officeDocument/2006/relationships/hyperlink" Target="http://moodle.napier.ac.uk/grade/report/user/index.php?userid=50908&amp;id=21402" TargetMode="External"/><Relationship Id="rId12" Type="http://schemas.openxmlformats.org/officeDocument/2006/relationships/hyperlink" Target="http://moodle.napier.ac.uk/grade/report/singleview/index.php?id=21402&amp;itemid=51072&amp;item=user" TargetMode="External"/><Relationship Id="rId17" Type="http://schemas.openxmlformats.org/officeDocument/2006/relationships/hyperlink" Target="http://moodle.napier.ac.uk/grade/report/user/index.php?userid=51075&amp;id=21402" TargetMode="External"/><Relationship Id="rId2" Type="http://schemas.openxmlformats.org/officeDocument/2006/relationships/hyperlink" Target="http://moodle.napier.ac.uk/grade/report/singleview/index.php?id=21402&amp;itemid=51170&amp;item=user" TargetMode="External"/><Relationship Id="rId16" Type="http://schemas.openxmlformats.org/officeDocument/2006/relationships/hyperlink" Target="http://moodle.napier.ac.uk/grade/report/singleview/index.php?id=21402&amp;itemid=50854&amp;item=user" TargetMode="External"/><Relationship Id="rId20" Type="http://schemas.openxmlformats.org/officeDocument/2006/relationships/hyperlink" Target="http://moodle.napier.ac.uk/grade/report/singleview/index.php?id=21402&amp;itemid=50865&amp;item=user" TargetMode="External"/><Relationship Id="rId1" Type="http://schemas.openxmlformats.org/officeDocument/2006/relationships/hyperlink" Target="http://moodle.napier.ac.uk/grade/report/user/index.php?userid=51170&amp;id=21402" TargetMode="External"/><Relationship Id="rId6" Type="http://schemas.openxmlformats.org/officeDocument/2006/relationships/hyperlink" Target="http://moodle.napier.ac.uk/grade/report/singleview/index.php?id=21402&amp;itemid=50768&amp;item=user" TargetMode="External"/><Relationship Id="rId11" Type="http://schemas.openxmlformats.org/officeDocument/2006/relationships/hyperlink" Target="http://moodle.napier.ac.uk/grade/report/user/index.php?userid=51072&amp;id=21402" TargetMode="External"/><Relationship Id="rId5" Type="http://schemas.openxmlformats.org/officeDocument/2006/relationships/hyperlink" Target="http://moodle.napier.ac.uk/grade/report/user/index.php?userid=50768&amp;id=21402" TargetMode="External"/><Relationship Id="rId15" Type="http://schemas.openxmlformats.org/officeDocument/2006/relationships/hyperlink" Target="http://moodle.napier.ac.uk/grade/report/user/index.php?userid=50854&amp;id=21402" TargetMode="External"/><Relationship Id="rId10" Type="http://schemas.openxmlformats.org/officeDocument/2006/relationships/hyperlink" Target="http://moodle.napier.ac.uk/grade/report/singleview/index.php?id=21402&amp;itemid=51083&amp;item=user" TargetMode="External"/><Relationship Id="rId19" Type="http://schemas.openxmlformats.org/officeDocument/2006/relationships/hyperlink" Target="http://moodle.napier.ac.uk/grade/report/user/index.php?userid=50865&amp;id=21402" TargetMode="External"/><Relationship Id="rId4" Type="http://schemas.openxmlformats.org/officeDocument/2006/relationships/hyperlink" Target="http://moodle.napier.ac.uk/grade/report/singleview/index.php?id=21402&amp;itemid=50912&amp;item=user" TargetMode="External"/><Relationship Id="rId9" Type="http://schemas.openxmlformats.org/officeDocument/2006/relationships/hyperlink" Target="http://moodle.napier.ac.uk/grade/report/user/index.php?userid=51083&amp;id=21402" TargetMode="External"/><Relationship Id="rId14" Type="http://schemas.openxmlformats.org/officeDocument/2006/relationships/hyperlink" Target="http://moodle.napier.ac.uk/grade/report/singleview/index.php?id=21402&amp;itemid=50997&amp;item=user" TargetMode="External"/><Relationship Id="rId22" Type="http://schemas.openxmlformats.org/officeDocument/2006/relationships/hyperlink" Target="http://moodle.napier.ac.uk/grade/report/singleview/index.php?id=21402&amp;itemid=51015&amp;item=user"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133668</xdr:colOff>
      <xdr:row>61</xdr:row>
      <xdr:rowOff>50801</xdr:rowOff>
    </xdr:from>
    <xdr:to>
      <xdr:col>13</xdr:col>
      <xdr:colOff>476250</xdr:colOff>
      <xdr:row>63</xdr:row>
      <xdr:rowOff>19051</xdr:rowOff>
    </xdr:to>
    <xdr:sp macro="" textlink="">
      <xdr:nvSpPr>
        <xdr:cNvPr id="3" name="Rectangle 2"/>
        <xdr:cNvSpPr/>
      </xdr:nvSpPr>
      <xdr:spPr>
        <a:xfrm>
          <a:off x="133668" y="12014201"/>
          <a:ext cx="8476932" cy="406400"/>
        </a:xfrm>
        <a:prstGeom prst="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1</xdr:row>
      <xdr:rowOff>180974</xdr:rowOff>
    </xdr:from>
    <xdr:to>
      <xdr:col>13</xdr:col>
      <xdr:colOff>352425</xdr:colOff>
      <xdr:row>23</xdr:row>
      <xdr:rowOff>165651</xdr:rowOff>
    </xdr:to>
    <xdr:sp macro="" textlink="">
      <xdr:nvSpPr>
        <xdr:cNvPr id="4" name="Rectangle 3"/>
        <xdr:cNvSpPr/>
      </xdr:nvSpPr>
      <xdr:spPr>
        <a:xfrm>
          <a:off x="0" y="375616"/>
          <a:ext cx="8999468" cy="3993459"/>
        </a:xfrm>
        <a:prstGeom prst="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152401</xdr:colOff>
      <xdr:row>2</xdr:row>
      <xdr:rowOff>19049</xdr:rowOff>
    </xdr:from>
    <xdr:to>
      <xdr:col>4</xdr:col>
      <xdr:colOff>304801</xdr:colOff>
      <xdr:row>23</xdr:row>
      <xdr:rowOff>115955</xdr:rowOff>
    </xdr:to>
    <xdr:sp macro="" textlink="">
      <xdr:nvSpPr>
        <xdr:cNvPr id="5" name="Rectangle 4"/>
        <xdr:cNvSpPr/>
      </xdr:nvSpPr>
      <xdr:spPr>
        <a:xfrm>
          <a:off x="1626705" y="395908"/>
          <a:ext cx="1461053" cy="3923471"/>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314325</xdr:colOff>
      <xdr:row>3</xdr:row>
      <xdr:rowOff>95250</xdr:rowOff>
    </xdr:from>
    <xdr:to>
      <xdr:col>3</xdr:col>
      <xdr:colOff>400050</xdr:colOff>
      <xdr:row>5</xdr:row>
      <xdr:rowOff>95250</xdr:rowOff>
    </xdr:to>
    <xdr:sp macro="" textlink="'Marking Template'!C30">
      <xdr:nvSpPr>
        <xdr:cNvPr id="6" name="TextBox 5"/>
        <xdr:cNvSpPr txBox="1"/>
      </xdr:nvSpPr>
      <xdr:spPr>
        <a:xfrm>
          <a:off x="1695450" y="676275"/>
          <a:ext cx="7048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fld id="{2CDCDCC9-6CC6-4F22-A1CD-CF5309787566}" type="TxLink">
            <a:rPr lang="en-US" sz="2000" b="0" i="0" u="none" strike="noStrike">
              <a:solidFill>
                <a:schemeClr val="bg1"/>
              </a:solidFill>
              <a:latin typeface="Century Gothic" panose="020B0502020202020204" pitchFamily="34" charset="0"/>
            </a:rPr>
            <a:pPr algn="ctr"/>
            <a:t>50</a:t>
          </a:fld>
          <a:endParaRPr lang="en-GB" sz="2000">
            <a:solidFill>
              <a:schemeClr val="bg1"/>
            </a:solidFill>
            <a:latin typeface="Century Gothic" panose="020B0502020202020204" pitchFamily="34" charset="0"/>
          </a:endParaRPr>
        </a:p>
      </xdr:txBody>
    </xdr:sp>
    <xdr:clientData/>
  </xdr:twoCellAnchor>
  <xdr:twoCellAnchor>
    <xdr:from>
      <xdr:col>2</xdr:col>
      <xdr:colOff>219076</xdr:colOff>
      <xdr:row>2</xdr:row>
      <xdr:rowOff>28575</xdr:rowOff>
    </xdr:from>
    <xdr:to>
      <xdr:col>4</xdr:col>
      <xdr:colOff>257176</xdr:colOff>
      <xdr:row>4</xdr:row>
      <xdr:rowOff>28575</xdr:rowOff>
    </xdr:to>
    <xdr:sp macro="" textlink="">
      <xdr:nvSpPr>
        <xdr:cNvPr id="7" name="TextBox 6"/>
        <xdr:cNvSpPr txBox="1"/>
      </xdr:nvSpPr>
      <xdr:spPr>
        <a:xfrm>
          <a:off x="1600201" y="419100"/>
          <a:ext cx="126682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sz="1200" b="0" i="0" u="none" strike="noStrike">
              <a:solidFill>
                <a:schemeClr val="bg1"/>
              </a:solidFill>
              <a:latin typeface="Century Gothic" panose="020B0502020202020204" pitchFamily="34" charset="0"/>
            </a:rPr>
            <a:t>Research</a:t>
          </a:r>
        </a:p>
      </xdr:txBody>
    </xdr:sp>
    <xdr:clientData/>
  </xdr:twoCellAnchor>
  <xdr:twoCellAnchor>
    <xdr:from>
      <xdr:col>3</xdr:col>
      <xdr:colOff>209550</xdr:colOff>
      <xdr:row>3</xdr:row>
      <xdr:rowOff>95250</xdr:rowOff>
    </xdr:from>
    <xdr:to>
      <xdr:col>4</xdr:col>
      <xdr:colOff>171450</xdr:colOff>
      <xdr:row>5</xdr:row>
      <xdr:rowOff>95250</xdr:rowOff>
    </xdr:to>
    <xdr:sp macro="" textlink="'Marking Template'!D30">
      <xdr:nvSpPr>
        <xdr:cNvPr id="8" name="TextBox 7"/>
        <xdr:cNvSpPr txBox="1"/>
      </xdr:nvSpPr>
      <xdr:spPr>
        <a:xfrm>
          <a:off x="2209800" y="676275"/>
          <a:ext cx="5715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l"/>
          <a:fld id="{004ED688-FDB4-4149-B8B2-1EACF56FAC55}" type="TxLink">
            <a:rPr lang="en-US" sz="2000" b="0" i="0" u="none" strike="noStrike">
              <a:solidFill>
                <a:schemeClr val="bg1"/>
              </a:solidFill>
              <a:latin typeface="Century Gothic"/>
            </a:rPr>
            <a:pPr algn="l"/>
            <a:t>C-</a:t>
          </a:fld>
          <a:endParaRPr lang="en-GB" sz="2000">
            <a:solidFill>
              <a:schemeClr val="bg1"/>
            </a:solidFill>
            <a:latin typeface="Century Gothic" panose="020B0502020202020204" pitchFamily="34" charset="0"/>
          </a:endParaRPr>
        </a:p>
      </xdr:txBody>
    </xdr:sp>
    <xdr:clientData/>
  </xdr:twoCellAnchor>
  <xdr:twoCellAnchor>
    <xdr:from>
      <xdr:col>2</xdr:col>
      <xdr:colOff>142874</xdr:colOff>
      <xdr:row>4</xdr:row>
      <xdr:rowOff>174212</xdr:rowOff>
    </xdr:from>
    <xdr:to>
      <xdr:col>4</xdr:col>
      <xdr:colOff>342899</xdr:colOff>
      <xdr:row>11</xdr:row>
      <xdr:rowOff>16288</xdr:rowOff>
    </xdr:to>
    <xdr:sp macro="" textlink="'Marking Template'!D31">
      <xdr:nvSpPr>
        <xdr:cNvPr id="9" name="TextBox 8"/>
        <xdr:cNvSpPr txBox="1"/>
      </xdr:nvSpPr>
      <xdr:spPr>
        <a:xfrm>
          <a:off x="1523999" y="945737"/>
          <a:ext cx="1428750" cy="1175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F2741B7-DD6D-4301-B4C1-4C7CAD9DB557}" type="TxLink">
            <a:rPr lang="en-US" sz="700" b="0" i="0" u="none" strike="noStrike">
              <a:solidFill>
                <a:schemeClr val="bg1"/>
              </a:solidFill>
              <a:latin typeface="Century Gothic"/>
            </a:rPr>
            <a:pPr/>
            <a:t>Sound, but with a number of shortcomings. Demonstrates C grade qualities but contains less critical analysis and little or no originality.</a:t>
          </a:fld>
          <a:endParaRPr lang="en-GB" sz="700">
            <a:solidFill>
              <a:schemeClr val="bg1"/>
            </a:solidFill>
          </a:endParaRPr>
        </a:p>
      </xdr:txBody>
    </xdr:sp>
    <xdr:clientData/>
  </xdr:twoCellAnchor>
  <xdr:twoCellAnchor>
    <xdr:from>
      <xdr:col>0</xdr:col>
      <xdr:colOff>47627</xdr:colOff>
      <xdr:row>2</xdr:row>
      <xdr:rowOff>19049</xdr:rowOff>
    </xdr:from>
    <xdr:to>
      <xdr:col>2</xdr:col>
      <xdr:colOff>104775</xdr:colOff>
      <xdr:row>23</xdr:row>
      <xdr:rowOff>115955</xdr:rowOff>
    </xdr:to>
    <xdr:sp macro="" textlink="">
      <xdr:nvSpPr>
        <xdr:cNvPr id="10" name="Rectangle 9"/>
        <xdr:cNvSpPr/>
      </xdr:nvSpPr>
      <xdr:spPr>
        <a:xfrm>
          <a:off x="47627" y="395908"/>
          <a:ext cx="1531452" cy="392347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142875</xdr:colOff>
      <xdr:row>3</xdr:row>
      <xdr:rowOff>76200</xdr:rowOff>
    </xdr:from>
    <xdr:to>
      <xdr:col>1</xdr:col>
      <xdr:colOff>228600</xdr:colOff>
      <xdr:row>5</xdr:row>
      <xdr:rowOff>76200</xdr:rowOff>
    </xdr:to>
    <xdr:sp macro="" textlink="'Marking Template'!C28">
      <xdr:nvSpPr>
        <xdr:cNvPr id="11" name="TextBox 10"/>
        <xdr:cNvSpPr txBox="1"/>
      </xdr:nvSpPr>
      <xdr:spPr>
        <a:xfrm>
          <a:off x="142875" y="657225"/>
          <a:ext cx="69532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fld id="{96695726-9571-4166-BB16-89BAB0E64F45}" type="TxLink">
            <a:rPr lang="en-US" sz="2000" b="1" i="0" u="none" strike="noStrike">
              <a:solidFill>
                <a:schemeClr val="tx1"/>
              </a:solidFill>
              <a:latin typeface="Century Gothic" panose="020B0502020202020204" pitchFamily="34" charset="0"/>
            </a:rPr>
            <a:pPr algn="ctr"/>
            <a:t>50</a:t>
          </a:fld>
          <a:endParaRPr lang="en-GB" sz="2000" b="1">
            <a:solidFill>
              <a:schemeClr val="tx1"/>
            </a:solidFill>
            <a:latin typeface="Century Gothic" panose="020B0502020202020204" pitchFamily="34" charset="0"/>
          </a:endParaRPr>
        </a:p>
      </xdr:txBody>
    </xdr:sp>
    <xdr:clientData/>
  </xdr:twoCellAnchor>
  <xdr:twoCellAnchor>
    <xdr:from>
      <xdr:col>1</xdr:col>
      <xdr:colOff>66675</xdr:colOff>
      <xdr:row>3</xdr:row>
      <xdr:rowOff>66675</xdr:rowOff>
    </xdr:from>
    <xdr:to>
      <xdr:col>2</xdr:col>
      <xdr:colOff>28575</xdr:colOff>
      <xdr:row>5</xdr:row>
      <xdr:rowOff>66675</xdr:rowOff>
    </xdr:to>
    <xdr:sp macro="" textlink="'Marking Template'!D28">
      <xdr:nvSpPr>
        <xdr:cNvPr id="12" name="TextBox 11"/>
        <xdr:cNvSpPr txBox="1"/>
      </xdr:nvSpPr>
      <xdr:spPr>
        <a:xfrm>
          <a:off x="676275" y="647700"/>
          <a:ext cx="73342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l"/>
          <a:fld id="{85EECAF0-276F-4B55-8C37-D6ADBABB6EA8}" type="TxLink">
            <a:rPr lang="en-US" sz="2000" b="1" i="0" u="none" strike="noStrike">
              <a:solidFill>
                <a:schemeClr val="tx1"/>
              </a:solidFill>
              <a:latin typeface="Century Gothic"/>
            </a:rPr>
            <a:pPr algn="l"/>
            <a:t>C-</a:t>
          </a:fld>
          <a:endParaRPr lang="en-GB" sz="2000" b="1">
            <a:solidFill>
              <a:schemeClr val="tx1"/>
            </a:solidFill>
            <a:latin typeface="Century Gothic" panose="020B0502020202020204" pitchFamily="34" charset="0"/>
          </a:endParaRPr>
        </a:p>
      </xdr:txBody>
    </xdr:sp>
    <xdr:clientData/>
  </xdr:twoCellAnchor>
  <xdr:twoCellAnchor>
    <xdr:from>
      <xdr:col>0</xdr:col>
      <xdr:colOff>0</xdr:colOff>
      <xdr:row>2</xdr:row>
      <xdr:rowOff>9525</xdr:rowOff>
    </xdr:from>
    <xdr:to>
      <xdr:col>2</xdr:col>
      <xdr:colOff>38100</xdr:colOff>
      <xdr:row>4</xdr:row>
      <xdr:rowOff>9525</xdr:rowOff>
    </xdr:to>
    <xdr:sp macro="" textlink="">
      <xdr:nvSpPr>
        <xdr:cNvPr id="13" name="TextBox 12"/>
        <xdr:cNvSpPr txBox="1"/>
      </xdr:nvSpPr>
      <xdr:spPr>
        <a:xfrm>
          <a:off x="0" y="400050"/>
          <a:ext cx="141922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sz="1200" b="1" i="0" u="none" strike="noStrike">
              <a:solidFill>
                <a:schemeClr val="tx1"/>
              </a:solidFill>
              <a:latin typeface="Century Gothic" panose="020B0502020202020204" pitchFamily="34" charset="0"/>
            </a:rPr>
            <a:t>Project 1 Total</a:t>
          </a:r>
        </a:p>
      </xdr:txBody>
    </xdr:sp>
    <xdr:clientData/>
  </xdr:twoCellAnchor>
  <xdr:twoCellAnchor>
    <xdr:from>
      <xdr:col>0</xdr:col>
      <xdr:colOff>38101</xdr:colOff>
      <xdr:row>5</xdr:row>
      <xdr:rowOff>9525</xdr:rowOff>
    </xdr:from>
    <xdr:to>
      <xdr:col>2</xdr:col>
      <xdr:colOff>161925</xdr:colOff>
      <xdr:row>21</xdr:row>
      <xdr:rowOff>114300</xdr:rowOff>
    </xdr:to>
    <xdr:sp macro="" textlink="'Marking Template'!D29">
      <xdr:nvSpPr>
        <xdr:cNvPr id="14" name="TextBox 13"/>
        <xdr:cNvSpPr txBox="1"/>
      </xdr:nvSpPr>
      <xdr:spPr>
        <a:xfrm>
          <a:off x="38101" y="971550"/>
          <a:ext cx="1504949" cy="3152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6B183DA-D9B2-467A-8B7B-C1ACC99A94CD}" type="TxLink">
            <a:rPr lang="en-US" sz="1200" b="1" i="0" u="none" strike="noStrike">
              <a:solidFill>
                <a:schemeClr val="tx1"/>
              </a:solidFill>
              <a:latin typeface="Century Gothic"/>
            </a:rPr>
            <a:pPr/>
            <a:t>Sound, but with a number of shortcomings. Demonstrates C grade qualities but contains less critical analysis and little or no originality.</a:t>
          </a:fld>
          <a:endParaRPr lang="en-GB" sz="1200" b="1">
            <a:solidFill>
              <a:schemeClr val="tx1"/>
            </a:solidFill>
          </a:endParaRPr>
        </a:p>
      </xdr:txBody>
    </xdr:sp>
    <xdr:clientData/>
  </xdr:twoCellAnchor>
  <xdr:twoCellAnchor>
    <xdr:from>
      <xdr:col>4</xdr:col>
      <xdr:colOff>304801</xdr:colOff>
      <xdr:row>2</xdr:row>
      <xdr:rowOff>19049</xdr:rowOff>
    </xdr:from>
    <xdr:to>
      <xdr:col>6</xdr:col>
      <xdr:colOff>457201</xdr:colOff>
      <xdr:row>23</xdr:row>
      <xdr:rowOff>115955</xdr:rowOff>
    </xdr:to>
    <xdr:sp macro="" textlink="">
      <xdr:nvSpPr>
        <xdr:cNvPr id="15" name="Rectangle 14"/>
        <xdr:cNvSpPr/>
      </xdr:nvSpPr>
      <xdr:spPr>
        <a:xfrm>
          <a:off x="3087758" y="395908"/>
          <a:ext cx="1444486" cy="3923471"/>
        </a:xfrm>
        <a:prstGeom prst="rect">
          <a:avLst/>
        </a:prstGeom>
        <a:solidFill>
          <a:srgbClr val="FF92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342901</xdr:colOff>
      <xdr:row>2</xdr:row>
      <xdr:rowOff>28575</xdr:rowOff>
    </xdr:from>
    <xdr:to>
      <xdr:col>6</xdr:col>
      <xdr:colOff>381001</xdr:colOff>
      <xdr:row>4</xdr:row>
      <xdr:rowOff>28575</xdr:rowOff>
    </xdr:to>
    <xdr:sp macro="" textlink="">
      <xdr:nvSpPr>
        <xdr:cNvPr id="16" name="TextBox 15"/>
        <xdr:cNvSpPr txBox="1"/>
      </xdr:nvSpPr>
      <xdr:spPr>
        <a:xfrm>
          <a:off x="2952751" y="419100"/>
          <a:ext cx="12573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sz="1200" b="0" i="0" u="none" strike="noStrike">
              <a:solidFill>
                <a:schemeClr val="bg1"/>
              </a:solidFill>
              <a:latin typeface="Century Gothic" panose="020B0502020202020204" pitchFamily="34" charset="0"/>
            </a:rPr>
            <a:t>Initial Ideas</a:t>
          </a:r>
        </a:p>
      </xdr:txBody>
    </xdr:sp>
    <xdr:clientData/>
  </xdr:twoCellAnchor>
  <xdr:twoCellAnchor>
    <xdr:from>
      <xdr:col>4</xdr:col>
      <xdr:colOff>409575</xdr:colOff>
      <xdr:row>3</xdr:row>
      <xdr:rowOff>95250</xdr:rowOff>
    </xdr:from>
    <xdr:to>
      <xdr:col>5</xdr:col>
      <xdr:colOff>495300</xdr:colOff>
      <xdr:row>5</xdr:row>
      <xdr:rowOff>95250</xdr:rowOff>
    </xdr:to>
    <xdr:sp macro="" textlink="'Marking Template'!C32">
      <xdr:nvSpPr>
        <xdr:cNvPr id="17" name="TextBox 16"/>
        <xdr:cNvSpPr txBox="1"/>
      </xdr:nvSpPr>
      <xdr:spPr>
        <a:xfrm>
          <a:off x="3019425" y="676275"/>
          <a:ext cx="69532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fld id="{4FCA1CE4-30DE-4FCA-A3EF-19CC9A807587}" type="TxLink">
            <a:rPr lang="en-US" sz="2000" b="0" i="0" u="none" strike="noStrike">
              <a:solidFill>
                <a:schemeClr val="bg1"/>
              </a:solidFill>
              <a:latin typeface="Century Gothic" panose="020B0502020202020204" pitchFamily="34" charset="0"/>
            </a:rPr>
            <a:pPr algn="ctr"/>
            <a:t>50</a:t>
          </a:fld>
          <a:endParaRPr lang="en-GB" sz="2000">
            <a:solidFill>
              <a:schemeClr val="bg1"/>
            </a:solidFill>
            <a:latin typeface="Century Gothic" panose="020B0502020202020204" pitchFamily="34" charset="0"/>
          </a:endParaRPr>
        </a:p>
      </xdr:txBody>
    </xdr:sp>
    <xdr:clientData/>
  </xdr:twoCellAnchor>
  <xdr:twoCellAnchor>
    <xdr:from>
      <xdr:col>5</xdr:col>
      <xdr:colOff>304800</xdr:colOff>
      <xdr:row>3</xdr:row>
      <xdr:rowOff>95250</xdr:rowOff>
    </xdr:from>
    <xdr:to>
      <xdr:col>6</xdr:col>
      <xdr:colOff>266700</xdr:colOff>
      <xdr:row>5</xdr:row>
      <xdr:rowOff>95250</xdr:rowOff>
    </xdr:to>
    <xdr:sp macro="" textlink="'Marking Template'!D32">
      <xdr:nvSpPr>
        <xdr:cNvPr id="18" name="TextBox 17"/>
        <xdr:cNvSpPr txBox="1"/>
      </xdr:nvSpPr>
      <xdr:spPr>
        <a:xfrm>
          <a:off x="3524250" y="676275"/>
          <a:ext cx="5715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l"/>
          <a:fld id="{7DF59D89-4EA9-44CD-8753-00469676B4C7}" type="TxLink">
            <a:rPr lang="en-US" sz="2000" b="0" i="0" u="none" strike="noStrike">
              <a:solidFill>
                <a:schemeClr val="bg1"/>
              </a:solidFill>
              <a:latin typeface="Century Gothic"/>
            </a:rPr>
            <a:pPr algn="l"/>
            <a:t>C-</a:t>
          </a:fld>
          <a:endParaRPr lang="en-GB" sz="2000">
            <a:solidFill>
              <a:schemeClr val="bg1"/>
            </a:solidFill>
            <a:latin typeface="Century Gothic" panose="020B0502020202020204" pitchFamily="34" charset="0"/>
          </a:endParaRPr>
        </a:p>
      </xdr:txBody>
    </xdr:sp>
    <xdr:clientData/>
  </xdr:twoCellAnchor>
  <xdr:twoCellAnchor>
    <xdr:from>
      <xdr:col>4</xdr:col>
      <xdr:colOff>314324</xdr:colOff>
      <xdr:row>4</xdr:row>
      <xdr:rowOff>183737</xdr:rowOff>
    </xdr:from>
    <xdr:to>
      <xdr:col>6</xdr:col>
      <xdr:colOff>514349</xdr:colOff>
      <xdr:row>11</xdr:row>
      <xdr:rowOff>25813</xdr:rowOff>
    </xdr:to>
    <xdr:sp macro="" textlink="'Marking Template'!D33">
      <xdr:nvSpPr>
        <xdr:cNvPr id="19" name="TextBox 18"/>
        <xdr:cNvSpPr txBox="1"/>
      </xdr:nvSpPr>
      <xdr:spPr>
        <a:xfrm>
          <a:off x="2924174" y="955262"/>
          <a:ext cx="1419225" cy="1175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DA4D5D9-F581-4FD8-A3CD-CA10B9464E06}" type="TxLink">
            <a:rPr lang="en-US" sz="700" b="0" i="0" u="none" strike="noStrike">
              <a:solidFill>
                <a:schemeClr val="bg1"/>
              </a:solidFill>
              <a:latin typeface="Century Gothic"/>
            </a:rPr>
            <a:pPr/>
            <a:t>Sound, but with a number of shortcomings. Demonstrates C grade qualities but contains less critical analysis and little or no originality.</a:t>
          </a:fld>
          <a:endParaRPr lang="en-GB" sz="700">
            <a:solidFill>
              <a:schemeClr val="bg1"/>
            </a:solidFill>
          </a:endParaRPr>
        </a:p>
      </xdr:txBody>
    </xdr:sp>
    <xdr:clientData/>
  </xdr:twoCellAnchor>
  <xdr:twoCellAnchor>
    <xdr:from>
      <xdr:col>6</xdr:col>
      <xdr:colOff>457201</xdr:colOff>
      <xdr:row>2</xdr:row>
      <xdr:rowOff>19049</xdr:rowOff>
    </xdr:from>
    <xdr:to>
      <xdr:col>9</xdr:col>
      <xdr:colOff>1</xdr:colOff>
      <xdr:row>23</xdr:row>
      <xdr:rowOff>115955</xdr:rowOff>
    </xdr:to>
    <xdr:sp macro="" textlink="">
      <xdr:nvSpPr>
        <xdr:cNvPr id="20" name="Rectangle 19"/>
        <xdr:cNvSpPr/>
      </xdr:nvSpPr>
      <xdr:spPr>
        <a:xfrm>
          <a:off x="4532244" y="395908"/>
          <a:ext cx="1480931" cy="3923471"/>
        </a:xfrm>
        <a:prstGeom prst="rect">
          <a:avLst/>
        </a:prstGeom>
        <a:solidFill>
          <a:srgbClr val="FFC1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485776</xdr:colOff>
      <xdr:row>2</xdr:row>
      <xdr:rowOff>28575</xdr:rowOff>
    </xdr:from>
    <xdr:to>
      <xdr:col>8</xdr:col>
      <xdr:colOff>523876</xdr:colOff>
      <xdr:row>4</xdr:row>
      <xdr:rowOff>28575</xdr:rowOff>
    </xdr:to>
    <xdr:sp macro="" textlink="">
      <xdr:nvSpPr>
        <xdr:cNvPr id="21" name="TextBox 20"/>
        <xdr:cNvSpPr txBox="1"/>
      </xdr:nvSpPr>
      <xdr:spPr>
        <a:xfrm>
          <a:off x="4314826" y="419100"/>
          <a:ext cx="12573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sz="1200" b="0" i="0" u="none" strike="noStrike">
              <a:solidFill>
                <a:schemeClr val="bg1"/>
              </a:solidFill>
              <a:latin typeface="Century Gothic" panose="020B0502020202020204" pitchFamily="34" charset="0"/>
            </a:rPr>
            <a:t>Development</a:t>
          </a:r>
        </a:p>
      </xdr:txBody>
    </xdr:sp>
    <xdr:clientData/>
  </xdr:twoCellAnchor>
  <xdr:twoCellAnchor>
    <xdr:from>
      <xdr:col>6</xdr:col>
      <xdr:colOff>571500</xdr:colOff>
      <xdr:row>3</xdr:row>
      <xdr:rowOff>95250</xdr:rowOff>
    </xdr:from>
    <xdr:to>
      <xdr:col>8</xdr:col>
      <xdr:colOff>47625</xdr:colOff>
      <xdr:row>5</xdr:row>
      <xdr:rowOff>95250</xdr:rowOff>
    </xdr:to>
    <xdr:sp macro="" textlink="'Marking Template'!C34">
      <xdr:nvSpPr>
        <xdr:cNvPr id="22" name="TextBox 21"/>
        <xdr:cNvSpPr txBox="1"/>
      </xdr:nvSpPr>
      <xdr:spPr>
        <a:xfrm>
          <a:off x="4400550" y="676275"/>
          <a:ext cx="69532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fld id="{3D0DDE0B-4507-4267-9068-EC5698CDC123}" type="TxLink">
            <a:rPr lang="en-US" sz="2000" b="0" i="0" u="none" strike="noStrike">
              <a:solidFill>
                <a:schemeClr val="bg1"/>
              </a:solidFill>
              <a:latin typeface="Century Gothic" panose="020B0502020202020204" pitchFamily="34" charset="0"/>
            </a:rPr>
            <a:pPr algn="ctr"/>
            <a:t>50</a:t>
          </a:fld>
          <a:endParaRPr lang="en-GB" sz="2000">
            <a:solidFill>
              <a:schemeClr val="bg1"/>
            </a:solidFill>
            <a:latin typeface="Century Gothic" panose="020B0502020202020204" pitchFamily="34" charset="0"/>
          </a:endParaRPr>
        </a:p>
      </xdr:txBody>
    </xdr:sp>
    <xdr:clientData/>
  </xdr:twoCellAnchor>
  <xdr:twoCellAnchor>
    <xdr:from>
      <xdr:col>7</xdr:col>
      <xdr:colOff>466725</xdr:colOff>
      <xdr:row>3</xdr:row>
      <xdr:rowOff>95250</xdr:rowOff>
    </xdr:from>
    <xdr:to>
      <xdr:col>8</xdr:col>
      <xdr:colOff>428625</xdr:colOff>
      <xdr:row>5</xdr:row>
      <xdr:rowOff>95250</xdr:rowOff>
    </xdr:to>
    <xdr:sp macro="" textlink="'Marking Template'!D34">
      <xdr:nvSpPr>
        <xdr:cNvPr id="23" name="TextBox 22"/>
        <xdr:cNvSpPr txBox="1"/>
      </xdr:nvSpPr>
      <xdr:spPr>
        <a:xfrm>
          <a:off x="4905375" y="676275"/>
          <a:ext cx="5715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l"/>
          <a:fld id="{01182FD1-C29F-4320-811C-FC4D8B087BF5}" type="TxLink">
            <a:rPr lang="en-US" sz="2000" b="0" i="0" u="none" strike="noStrike">
              <a:solidFill>
                <a:schemeClr val="bg1"/>
              </a:solidFill>
              <a:latin typeface="Century Gothic" panose="020B0502020202020204" pitchFamily="34" charset="0"/>
            </a:rPr>
            <a:pPr algn="l"/>
            <a:t>C-</a:t>
          </a:fld>
          <a:endParaRPr lang="en-GB" sz="2000">
            <a:solidFill>
              <a:schemeClr val="bg1"/>
            </a:solidFill>
            <a:latin typeface="Century Gothic" panose="020B0502020202020204" pitchFamily="34" charset="0"/>
          </a:endParaRPr>
        </a:p>
      </xdr:txBody>
    </xdr:sp>
    <xdr:clientData/>
  </xdr:twoCellAnchor>
  <xdr:twoCellAnchor>
    <xdr:from>
      <xdr:col>6</xdr:col>
      <xdr:colOff>428624</xdr:colOff>
      <xdr:row>5</xdr:row>
      <xdr:rowOff>12287</xdr:rowOff>
    </xdr:from>
    <xdr:to>
      <xdr:col>9</xdr:col>
      <xdr:colOff>19049</xdr:colOff>
      <xdr:row>11</xdr:row>
      <xdr:rowOff>44863</xdr:rowOff>
    </xdr:to>
    <xdr:sp macro="" textlink="'Marking Template'!D35">
      <xdr:nvSpPr>
        <xdr:cNvPr id="24" name="TextBox 23"/>
        <xdr:cNvSpPr txBox="1"/>
      </xdr:nvSpPr>
      <xdr:spPr>
        <a:xfrm>
          <a:off x="4257674" y="974312"/>
          <a:ext cx="1419225" cy="1175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294CE9-A11E-4189-B356-EF015B163A2B}" type="TxLink">
            <a:rPr lang="en-US" sz="700" b="0" i="0" u="none" strike="noStrike">
              <a:solidFill>
                <a:schemeClr val="bg1"/>
              </a:solidFill>
              <a:latin typeface="Century Gothic"/>
            </a:rPr>
            <a:pPr/>
            <a:t>Sound, but with a number of shortcomings. Demonstrates C grade qualities but contains less critical analysis and little or no originality.</a:t>
          </a:fld>
          <a:endParaRPr lang="en-GB" sz="700">
            <a:solidFill>
              <a:schemeClr val="bg1"/>
            </a:solidFill>
            <a:latin typeface="Century Gothic" panose="020B0502020202020204" pitchFamily="34" charset="0"/>
          </a:endParaRPr>
        </a:p>
      </xdr:txBody>
    </xdr:sp>
    <xdr:clientData/>
  </xdr:twoCellAnchor>
  <xdr:twoCellAnchor>
    <xdr:from>
      <xdr:col>9</xdr:col>
      <xdr:colOff>1</xdr:colOff>
      <xdr:row>2</xdr:row>
      <xdr:rowOff>19049</xdr:rowOff>
    </xdr:from>
    <xdr:to>
      <xdr:col>11</xdr:col>
      <xdr:colOff>152401</xdr:colOff>
      <xdr:row>23</xdr:row>
      <xdr:rowOff>115955</xdr:rowOff>
    </xdr:to>
    <xdr:sp macro="" textlink="">
      <xdr:nvSpPr>
        <xdr:cNvPr id="25" name="Rectangle 24"/>
        <xdr:cNvSpPr/>
      </xdr:nvSpPr>
      <xdr:spPr>
        <a:xfrm>
          <a:off x="6013175" y="395908"/>
          <a:ext cx="1444487" cy="3923471"/>
        </a:xfrm>
        <a:prstGeom prst="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9526</xdr:colOff>
      <xdr:row>2</xdr:row>
      <xdr:rowOff>19050</xdr:rowOff>
    </xdr:from>
    <xdr:to>
      <xdr:col>11</xdr:col>
      <xdr:colOff>47626</xdr:colOff>
      <xdr:row>4</xdr:row>
      <xdr:rowOff>19050</xdr:rowOff>
    </xdr:to>
    <xdr:sp macro="" textlink="">
      <xdr:nvSpPr>
        <xdr:cNvPr id="26" name="TextBox 25"/>
        <xdr:cNvSpPr txBox="1"/>
      </xdr:nvSpPr>
      <xdr:spPr>
        <a:xfrm>
          <a:off x="5667376" y="409575"/>
          <a:ext cx="12573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sz="1200" b="0" i="0" u="none" strike="noStrike">
              <a:solidFill>
                <a:schemeClr val="bg1"/>
              </a:solidFill>
              <a:latin typeface="Century Gothic" panose="020B0502020202020204" pitchFamily="34" charset="0"/>
            </a:rPr>
            <a:t>Presentation</a:t>
          </a:r>
        </a:p>
      </xdr:txBody>
    </xdr:sp>
    <xdr:clientData/>
  </xdr:twoCellAnchor>
  <xdr:twoCellAnchor>
    <xdr:from>
      <xdr:col>9</xdr:col>
      <xdr:colOff>171450</xdr:colOff>
      <xdr:row>3</xdr:row>
      <xdr:rowOff>95250</xdr:rowOff>
    </xdr:from>
    <xdr:to>
      <xdr:col>10</xdr:col>
      <xdr:colOff>257175</xdr:colOff>
      <xdr:row>5</xdr:row>
      <xdr:rowOff>95250</xdr:rowOff>
    </xdr:to>
    <xdr:sp macro="" textlink="'Marking Template'!C36">
      <xdr:nvSpPr>
        <xdr:cNvPr id="27" name="TextBox 26"/>
        <xdr:cNvSpPr txBox="1"/>
      </xdr:nvSpPr>
      <xdr:spPr>
        <a:xfrm>
          <a:off x="5829300" y="676275"/>
          <a:ext cx="69532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fld id="{14D334E5-4B2D-4ECA-9202-1935081E8FD4}" type="TxLink">
            <a:rPr lang="en-US" sz="2000" b="0" i="0" u="none" strike="noStrike">
              <a:solidFill>
                <a:schemeClr val="bg1"/>
              </a:solidFill>
              <a:latin typeface="Century Gothic" panose="020B0502020202020204" pitchFamily="34" charset="0"/>
            </a:rPr>
            <a:pPr algn="ctr"/>
            <a:t>50</a:t>
          </a:fld>
          <a:endParaRPr lang="en-GB" sz="2000">
            <a:solidFill>
              <a:schemeClr val="bg1"/>
            </a:solidFill>
            <a:latin typeface="Century Gothic" panose="020B0502020202020204" pitchFamily="34" charset="0"/>
          </a:endParaRPr>
        </a:p>
      </xdr:txBody>
    </xdr:sp>
    <xdr:clientData/>
  </xdr:twoCellAnchor>
  <xdr:twoCellAnchor>
    <xdr:from>
      <xdr:col>10</xdr:col>
      <xdr:colOff>66675</xdr:colOff>
      <xdr:row>3</xdr:row>
      <xdr:rowOff>95250</xdr:rowOff>
    </xdr:from>
    <xdr:to>
      <xdr:col>11</xdr:col>
      <xdr:colOff>28575</xdr:colOff>
      <xdr:row>5</xdr:row>
      <xdr:rowOff>95250</xdr:rowOff>
    </xdr:to>
    <xdr:sp macro="" textlink="'Marking Template'!D36">
      <xdr:nvSpPr>
        <xdr:cNvPr id="28" name="TextBox 27"/>
        <xdr:cNvSpPr txBox="1"/>
      </xdr:nvSpPr>
      <xdr:spPr>
        <a:xfrm>
          <a:off x="6334125" y="676275"/>
          <a:ext cx="5715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l"/>
          <a:fld id="{FDAAB308-2AD6-4643-9A93-CAAC44FCC0E0}" type="TxLink">
            <a:rPr lang="en-US" sz="2000" b="0" i="0" u="none" strike="noStrike">
              <a:solidFill>
                <a:schemeClr val="bg1"/>
              </a:solidFill>
              <a:latin typeface="Century Gothic"/>
            </a:rPr>
            <a:pPr algn="l"/>
            <a:t>C-</a:t>
          </a:fld>
          <a:endParaRPr lang="en-GB" sz="2000">
            <a:solidFill>
              <a:schemeClr val="bg1"/>
            </a:solidFill>
            <a:latin typeface="Century Gothic" panose="020B0502020202020204" pitchFamily="34" charset="0"/>
          </a:endParaRPr>
        </a:p>
      </xdr:txBody>
    </xdr:sp>
    <xdr:clientData/>
  </xdr:twoCellAnchor>
  <xdr:oneCellAnchor>
    <xdr:from>
      <xdr:col>8</xdr:col>
      <xdr:colOff>581024</xdr:colOff>
      <xdr:row>5</xdr:row>
      <xdr:rowOff>12287</xdr:rowOff>
    </xdr:from>
    <xdr:ext cx="1419225" cy="1121188"/>
    <xdr:sp macro="" textlink="'Marking Template'!D37" fLocksText="0">
      <xdr:nvSpPr>
        <xdr:cNvPr id="29" name="TextBox 28"/>
        <xdr:cNvSpPr txBox="1"/>
      </xdr:nvSpPr>
      <xdr:spPr>
        <a:xfrm>
          <a:off x="5629274" y="974312"/>
          <a:ext cx="1419225" cy="11211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fld id="{DEDB97B3-3D86-4026-8CBF-CDD67E56D13E}" type="TxLink">
            <a:rPr lang="en-US" sz="700" b="0" i="0" u="none" strike="noStrike">
              <a:solidFill>
                <a:schemeClr val="bg1"/>
              </a:solidFill>
              <a:latin typeface="Century Gothic"/>
            </a:rPr>
            <a:pPr/>
            <a:t>Sound, but with a number of shortcomings. Demonstrates C grade qualities but contains less critical analysis and little or no originality.</a:t>
          </a:fld>
          <a:endParaRPr lang="en-GB" sz="700">
            <a:solidFill>
              <a:schemeClr val="bg1"/>
            </a:solidFill>
            <a:latin typeface="Century Gothic" panose="020B0502020202020204" pitchFamily="34" charset="0"/>
          </a:endParaRPr>
        </a:p>
      </xdr:txBody>
    </xdr:sp>
    <xdr:clientData fLocksWithSheet="0"/>
  </xdr:oneCellAnchor>
  <xdr:twoCellAnchor>
    <xdr:from>
      <xdr:col>11</xdr:col>
      <xdr:colOff>152401</xdr:colOff>
      <xdr:row>2</xdr:row>
      <xdr:rowOff>19049</xdr:rowOff>
    </xdr:from>
    <xdr:to>
      <xdr:col>13</xdr:col>
      <xdr:colOff>304801</xdr:colOff>
      <xdr:row>23</xdr:row>
      <xdr:rowOff>115955</xdr:rowOff>
    </xdr:to>
    <xdr:sp macro="" textlink="">
      <xdr:nvSpPr>
        <xdr:cNvPr id="30" name="Rectangle 29"/>
        <xdr:cNvSpPr/>
      </xdr:nvSpPr>
      <xdr:spPr>
        <a:xfrm>
          <a:off x="7457662" y="395908"/>
          <a:ext cx="1494182" cy="3923471"/>
        </a:xfrm>
        <a:prstGeom prst="rect">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180975</xdr:colOff>
      <xdr:row>2</xdr:row>
      <xdr:rowOff>28575</xdr:rowOff>
    </xdr:from>
    <xdr:to>
      <xdr:col>13</xdr:col>
      <xdr:colOff>295275</xdr:colOff>
      <xdr:row>4</xdr:row>
      <xdr:rowOff>28575</xdr:rowOff>
    </xdr:to>
    <xdr:sp macro="" textlink="">
      <xdr:nvSpPr>
        <xdr:cNvPr id="31" name="TextBox 30"/>
        <xdr:cNvSpPr txBox="1"/>
      </xdr:nvSpPr>
      <xdr:spPr>
        <a:xfrm>
          <a:off x="7058025" y="419100"/>
          <a:ext cx="13716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sz="1200" b="0" i="0" u="none" strike="noStrike">
              <a:solidFill>
                <a:schemeClr val="bg1"/>
              </a:solidFill>
              <a:latin typeface="Century Gothic" panose="020B0502020202020204" pitchFamily="34" charset="0"/>
            </a:rPr>
            <a:t>Pride</a:t>
          </a:r>
        </a:p>
      </xdr:txBody>
    </xdr:sp>
    <xdr:clientData/>
  </xdr:twoCellAnchor>
  <xdr:twoCellAnchor>
    <xdr:from>
      <xdr:col>11</xdr:col>
      <xdr:colOff>342900</xdr:colOff>
      <xdr:row>3</xdr:row>
      <xdr:rowOff>95250</xdr:rowOff>
    </xdr:from>
    <xdr:to>
      <xdr:col>12</xdr:col>
      <xdr:colOff>428625</xdr:colOff>
      <xdr:row>5</xdr:row>
      <xdr:rowOff>95250</xdr:rowOff>
    </xdr:to>
    <xdr:sp macro="" textlink="'Marking Template'!C38">
      <xdr:nvSpPr>
        <xdr:cNvPr id="32" name="TextBox 31"/>
        <xdr:cNvSpPr txBox="1"/>
      </xdr:nvSpPr>
      <xdr:spPr>
        <a:xfrm>
          <a:off x="7219950" y="676275"/>
          <a:ext cx="69532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fld id="{DDBD9593-A8BF-49B4-85B8-8EE207A832F9}" type="TxLink">
            <a:rPr lang="en-US" sz="2000" b="0" i="0" u="none" strike="noStrike">
              <a:solidFill>
                <a:schemeClr val="bg1"/>
              </a:solidFill>
              <a:latin typeface="Century Gothic" panose="020B0502020202020204" pitchFamily="34" charset="0"/>
            </a:rPr>
            <a:pPr algn="ctr"/>
            <a:t>50</a:t>
          </a:fld>
          <a:endParaRPr lang="en-GB" sz="2000">
            <a:solidFill>
              <a:schemeClr val="bg1"/>
            </a:solidFill>
            <a:latin typeface="Century Gothic" panose="020B0502020202020204" pitchFamily="34" charset="0"/>
          </a:endParaRPr>
        </a:p>
      </xdr:txBody>
    </xdr:sp>
    <xdr:clientData/>
  </xdr:twoCellAnchor>
  <xdr:twoCellAnchor>
    <xdr:from>
      <xdr:col>12</xdr:col>
      <xdr:colOff>238125</xdr:colOff>
      <xdr:row>3</xdr:row>
      <xdr:rowOff>95250</xdr:rowOff>
    </xdr:from>
    <xdr:to>
      <xdr:col>13</xdr:col>
      <xdr:colOff>200025</xdr:colOff>
      <xdr:row>5</xdr:row>
      <xdr:rowOff>95250</xdr:rowOff>
    </xdr:to>
    <xdr:sp macro="" textlink="'Marking Template'!D38">
      <xdr:nvSpPr>
        <xdr:cNvPr id="33" name="TextBox 32"/>
        <xdr:cNvSpPr txBox="1"/>
      </xdr:nvSpPr>
      <xdr:spPr>
        <a:xfrm>
          <a:off x="7724775" y="676275"/>
          <a:ext cx="6096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l"/>
          <a:fld id="{EB60C617-9979-454C-BFB8-5188841F98CE}" type="TxLink">
            <a:rPr lang="en-US" sz="2000" b="0" i="0" u="none" strike="noStrike">
              <a:solidFill>
                <a:schemeClr val="bg1"/>
              </a:solidFill>
              <a:latin typeface="Century Gothic"/>
            </a:rPr>
            <a:pPr algn="l"/>
            <a:t>C-</a:t>
          </a:fld>
          <a:endParaRPr lang="en-GB" sz="2000">
            <a:solidFill>
              <a:schemeClr val="bg1"/>
            </a:solidFill>
            <a:latin typeface="Century Gothic" panose="020B0502020202020204" pitchFamily="34" charset="0"/>
          </a:endParaRPr>
        </a:p>
      </xdr:txBody>
    </xdr:sp>
    <xdr:clientData/>
  </xdr:twoCellAnchor>
  <xdr:twoCellAnchor>
    <xdr:from>
      <xdr:col>11</xdr:col>
      <xdr:colOff>152399</xdr:colOff>
      <xdr:row>5</xdr:row>
      <xdr:rowOff>12287</xdr:rowOff>
    </xdr:from>
    <xdr:to>
      <xdr:col>13</xdr:col>
      <xdr:colOff>352424</xdr:colOff>
      <xdr:row>11</xdr:row>
      <xdr:rowOff>44863</xdr:rowOff>
    </xdr:to>
    <xdr:sp macro="" textlink="'Marking Template'!D39">
      <xdr:nvSpPr>
        <xdr:cNvPr id="34" name="TextBox 33"/>
        <xdr:cNvSpPr txBox="1"/>
      </xdr:nvSpPr>
      <xdr:spPr>
        <a:xfrm>
          <a:off x="7029449" y="974312"/>
          <a:ext cx="1457325" cy="1175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B667DA0-7B33-4EDF-9345-DC0EC141C8FF}" type="TxLink">
            <a:rPr lang="en-US" sz="700" b="0" i="0" u="none" strike="noStrike">
              <a:solidFill>
                <a:schemeClr val="bg1"/>
              </a:solidFill>
              <a:latin typeface="Century Gothic"/>
            </a:rPr>
            <a:pPr/>
            <a:t>Sound, but with a number of shortcomings. Demonstrates C grade qualities but contains less critical analysis and little or no originality.</a:t>
          </a:fld>
          <a:endParaRPr lang="en-GB" sz="700">
            <a:solidFill>
              <a:schemeClr val="bg1"/>
            </a:solidFill>
            <a:latin typeface="Century Gothic" panose="020B0502020202020204" pitchFamily="34" charset="0"/>
          </a:endParaRPr>
        </a:p>
      </xdr:txBody>
    </xdr:sp>
    <xdr:clientData/>
  </xdr:twoCellAnchor>
  <xdr:twoCellAnchor>
    <xdr:from>
      <xdr:col>8</xdr:col>
      <xdr:colOff>200026</xdr:colOff>
      <xdr:row>0</xdr:row>
      <xdr:rowOff>9525</xdr:rowOff>
    </xdr:from>
    <xdr:to>
      <xdr:col>10</xdr:col>
      <xdr:colOff>104775</xdr:colOff>
      <xdr:row>1</xdr:row>
      <xdr:rowOff>76200</xdr:rowOff>
    </xdr:to>
    <xdr:sp macro="" textlink="'Marking Template'!B25">
      <xdr:nvSpPr>
        <xdr:cNvPr id="35" name="TextBox 34"/>
        <xdr:cNvSpPr txBox="1"/>
      </xdr:nvSpPr>
      <xdr:spPr>
        <a:xfrm>
          <a:off x="5248276" y="9525"/>
          <a:ext cx="1123949"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D3D6C93-13B7-469B-B6CA-2027B7F1E204}" type="TxLink">
            <a:rPr lang="en-US" sz="1100" b="1" i="0" u="none" strike="noStrike">
              <a:solidFill>
                <a:srgbClr val="000000"/>
              </a:solidFill>
              <a:latin typeface="Century Gothic" panose="020B0502020202020204" pitchFamily="34" charset="0"/>
              <a:cs typeface="Calibri"/>
            </a:rPr>
            <a:pPr/>
            <a:t>21/05/2019</a:t>
          </a:fld>
          <a:endParaRPr lang="en-GB" sz="1100" b="1">
            <a:latin typeface="Century Gothic" panose="020B0502020202020204" pitchFamily="34" charset="0"/>
          </a:endParaRPr>
        </a:p>
      </xdr:txBody>
    </xdr:sp>
    <xdr:clientData/>
  </xdr:twoCellAnchor>
  <xdr:twoCellAnchor>
    <xdr:from>
      <xdr:col>0</xdr:col>
      <xdr:colOff>152718</xdr:colOff>
      <xdr:row>75</xdr:row>
      <xdr:rowOff>171450</xdr:rowOff>
    </xdr:from>
    <xdr:to>
      <xdr:col>2</xdr:col>
      <xdr:colOff>317500</xdr:colOff>
      <xdr:row>97</xdr:row>
      <xdr:rowOff>161925</xdr:rowOff>
    </xdr:to>
    <xdr:sp macro="" textlink="">
      <xdr:nvSpPr>
        <xdr:cNvPr id="36" name="Rectangle 35"/>
        <xdr:cNvSpPr/>
      </xdr:nvSpPr>
      <xdr:spPr>
        <a:xfrm>
          <a:off x="152718" y="9382125"/>
          <a:ext cx="1650682" cy="5305425"/>
        </a:xfrm>
        <a:prstGeom prst="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b="1"/>
        </a:p>
      </xdr:txBody>
    </xdr:sp>
    <xdr:clientData/>
  </xdr:twoCellAnchor>
  <xdr:twoCellAnchor>
    <xdr:from>
      <xdr:col>10</xdr:col>
      <xdr:colOff>594985</xdr:colOff>
      <xdr:row>55</xdr:row>
      <xdr:rowOff>57152</xdr:rowOff>
    </xdr:from>
    <xdr:to>
      <xdr:col>12</xdr:col>
      <xdr:colOff>552451</xdr:colOff>
      <xdr:row>56</xdr:row>
      <xdr:rowOff>150946</xdr:rowOff>
    </xdr:to>
    <xdr:sp macro="" textlink="#REF!">
      <xdr:nvSpPr>
        <xdr:cNvPr id="37" name="TextBox 36"/>
        <xdr:cNvSpPr txBox="1"/>
      </xdr:nvSpPr>
      <xdr:spPr>
        <a:xfrm>
          <a:off x="6862435" y="8334377"/>
          <a:ext cx="1176666" cy="284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94253AFF-7CE2-4E8C-9016-FA4BB12420EB}" type="TxLink">
            <a:rPr lang="en-US" sz="1000" b="0" i="0" u="none" strike="noStrike">
              <a:solidFill>
                <a:schemeClr val="bg1"/>
              </a:solidFill>
              <a:latin typeface="Century Gothic"/>
            </a:rPr>
            <a:pPr algn="l"/>
            <a:t> </a:t>
          </a:fld>
          <a:endParaRPr lang="en-GB" sz="1100">
            <a:solidFill>
              <a:schemeClr val="bg1"/>
            </a:solidFill>
          </a:endParaRPr>
        </a:p>
      </xdr:txBody>
    </xdr:sp>
    <xdr:clientData/>
  </xdr:twoCellAnchor>
  <xdr:twoCellAnchor>
    <xdr:from>
      <xdr:col>7</xdr:col>
      <xdr:colOff>580805</xdr:colOff>
      <xdr:row>55</xdr:row>
      <xdr:rowOff>57152</xdr:rowOff>
    </xdr:from>
    <xdr:to>
      <xdr:col>10</xdr:col>
      <xdr:colOff>21158</xdr:colOff>
      <xdr:row>56</xdr:row>
      <xdr:rowOff>150946</xdr:rowOff>
    </xdr:to>
    <xdr:sp macro="" textlink="#REF!">
      <xdr:nvSpPr>
        <xdr:cNvPr id="38" name="TextBox 37"/>
        <xdr:cNvSpPr txBox="1"/>
      </xdr:nvSpPr>
      <xdr:spPr>
        <a:xfrm>
          <a:off x="5019455" y="8334377"/>
          <a:ext cx="1269153" cy="284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DA04CC9-5B3D-4355-B58C-AFBB735E90A9}" type="TxLink">
            <a:rPr lang="en-US" sz="1000" b="0" i="0" u="none" strike="noStrike">
              <a:solidFill>
                <a:schemeClr val="bg1"/>
              </a:solidFill>
              <a:latin typeface="Century Gothic"/>
            </a:rPr>
            <a:pPr algn="l"/>
            <a:t> </a:t>
          </a:fld>
          <a:endParaRPr lang="en-GB" sz="1100">
            <a:solidFill>
              <a:schemeClr val="bg1"/>
            </a:solidFill>
          </a:endParaRPr>
        </a:p>
      </xdr:txBody>
    </xdr:sp>
    <xdr:clientData/>
  </xdr:twoCellAnchor>
  <xdr:twoCellAnchor>
    <xdr:from>
      <xdr:col>4</xdr:col>
      <xdr:colOff>634467</xdr:colOff>
      <xdr:row>55</xdr:row>
      <xdr:rowOff>57151</xdr:rowOff>
    </xdr:from>
    <xdr:to>
      <xdr:col>6</xdr:col>
      <xdr:colOff>387981</xdr:colOff>
      <xdr:row>56</xdr:row>
      <xdr:rowOff>131896</xdr:rowOff>
    </xdr:to>
    <xdr:sp macro="" textlink="#REF!">
      <xdr:nvSpPr>
        <xdr:cNvPr id="39" name="TextBox 38"/>
        <xdr:cNvSpPr txBox="1"/>
      </xdr:nvSpPr>
      <xdr:spPr>
        <a:xfrm>
          <a:off x="3215742" y="8334376"/>
          <a:ext cx="1001289" cy="2652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B864F23-E297-4EA8-99E1-9A1E6DA118E5}" type="TxLink">
            <a:rPr lang="en-US" sz="1000" b="0" i="0" u="none" strike="noStrike">
              <a:solidFill>
                <a:schemeClr val="bg1"/>
              </a:solidFill>
              <a:latin typeface="Century Gothic"/>
            </a:rPr>
            <a:pPr algn="l"/>
            <a:t> </a:t>
          </a:fld>
          <a:endParaRPr lang="en-GB" sz="1100">
            <a:solidFill>
              <a:schemeClr val="bg1"/>
            </a:solidFill>
          </a:endParaRPr>
        </a:p>
      </xdr:txBody>
    </xdr:sp>
    <xdr:clientData/>
  </xdr:twoCellAnchor>
  <xdr:twoCellAnchor>
    <xdr:from>
      <xdr:col>0</xdr:col>
      <xdr:colOff>104775</xdr:colOff>
      <xdr:row>61</xdr:row>
      <xdr:rowOff>158750</xdr:rowOff>
    </xdr:from>
    <xdr:to>
      <xdr:col>2</xdr:col>
      <xdr:colOff>600075</xdr:colOff>
      <xdr:row>63</xdr:row>
      <xdr:rowOff>73025</xdr:rowOff>
    </xdr:to>
    <xdr:sp macro="" textlink="M1">
      <xdr:nvSpPr>
        <xdr:cNvPr id="40" name="TextBox 39"/>
        <xdr:cNvSpPr txBox="1"/>
      </xdr:nvSpPr>
      <xdr:spPr>
        <a:xfrm>
          <a:off x="104775" y="8816975"/>
          <a:ext cx="18764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7E354FD-128C-4387-B3F0-A05F6EE8DD5F}" type="TxLink">
            <a:rPr lang="en-US" sz="1200" b="1" i="0" u="none" strike="noStrike">
              <a:solidFill>
                <a:schemeClr val="bg1"/>
              </a:solidFill>
              <a:latin typeface="Century Gothic"/>
            </a:rPr>
            <a:pPr/>
            <a:t> </a:t>
          </a:fld>
          <a:endParaRPr lang="en-GB" sz="1200" b="1">
            <a:solidFill>
              <a:schemeClr val="bg1"/>
            </a:solidFill>
            <a:latin typeface="Century Gothic" panose="020B0502020202020204" pitchFamily="34" charset="0"/>
          </a:endParaRPr>
        </a:p>
      </xdr:txBody>
    </xdr:sp>
    <xdr:clientData/>
  </xdr:twoCellAnchor>
  <xdr:twoCellAnchor>
    <xdr:from>
      <xdr:col>12</xdr:col>
      <xdr:colOff>38100</xdr:colOff>
      <xdr:row>64</xdr:row>
      <xdr:rowOff>158750</xdr:rowOff>
    </xdr:from>
    <xdr:to>
      <xdr:col>13</xdr:col>
      <xdr:colOff>457199</xdr:colOff>
      <xdr:row>66</xdr:row>
      <xdr:rowOff>73025</xdr:rowOff>
    </xdr:to>
    <xdr:sp macro="" textlink="'Marking Template'!B25">
      <xdr:nvSpPr>
        <xdr:cNvPr id="41" name="TextBox 40"/>
        <xdr:cNvSpPr txBox="1"/>
      </xdr:nvSpPr>
      <xdr:spPr>
        <a:xfrm>
          <a:off x="7524750" y="8816975"/>
          <a:ext cx="1066799"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D3D6C93-13B7-469B-B6CA-2027B7F1E204}" type="TxLink">
            <a:rPr lang="en-US" sz="1200" b="1" i="0" u="none" strike="noStrike">
              <a:solidFill>
                <a:schemeClr val="bg1"/>
              </a:solidFill>
              <a:latin typeface="Century Gothic" panose="020B0502020202020204" pitchFamily="34" charset="0"/>
              <a:cs typeface="Calibri"/>
            </a:rPr>
            <a:pPr/>
            <a:t>21/05/2019</a:t>
          </a:fld>
          <a:endParaRPr lang="en-GB" sz="1200" b="1">
            <a:solidFill>
              <a:schemeClr val="bg1"/>
            </a:solidFill>
            <a:latin typeface="Century Gothic" panose="020B0502020202020204" pitchFamily="34" charset="0"/>
          </a:endParaRPr>
        </a:p>
      </xdr:txBody>
    </xdr:sp>
    <xdr:clientData/>
  </xdr:twoCellAnchor>
  <xdr:twoCellAnchor>
    <xdr:from>
      <xdr:col>0</xdr:col>
      <xdr:colOff>254000</xdr:colOff>
      <xdr:row>64</xdr:row>
      <xdr:rowOff>133350</xdr:rowOff>
    </xdr:from>
    <xdr:to>
      <xdr:col>1</xdr:col>
      <xdr:colOff>292100</xdr:colOff>
      <xdr:row>66</xdr:row>
      <xdr:rowOff>171450</xdr:rowOff>
    </xdr:to>
    <xdr:sp macro="" textlink="'Marking Template'!C28">
      <xdr:nvSpPr>
        <xdr:cNvPr id="42" name="TextBox 41"/>
        <xdr:cNvSpPr txBox="1"/>
      </xdr:nvSpPr>
      <xdr:spPr>
        <a:xfrm>
          <a:off x="254000" y="9363075"/>
          <a:ext cx="64770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fld id="{96695726-9571-4166-BB16-89BAB0E64F45}" type="TxLink">
            <a:rPr lang="en-US" sz="2000" b="1" i="0" u="none" strike="noStrike">
              <a:solidFill>
                <a:schemeClr val="bg1"/>
              </a:solidFill>
              <a:latin typeface="Century Gothic" panose="020B0502020202020204" pitchFamily="34" charset="0"/>
            </a:rPr>
            <a:pPr algn="ctr"/>
            <a:t>50</a:t>
          </a:fld>
          <a:endParaRPr lang="en-GB" sz="2000" b="1">
            <a:solidFill>
              <a:schemeClr val="bg1"/>
            </a:solidFill>
            <a:latin typeface="Century Gothic" panose="020B0502020202020204" pitchFamily="34" charset="0"/>
          </a:endParaRPr>
        </a:p>
      </xdr:txBody>
    </xdr:sp>
    <xdr:clientData/>
  </xdr:twoCellAnchor>
  <xdr:twoCellAnchor>
    <xdr:from>
      <xdr:col>1</xdr:col>
      <xdr:colOff>209550</xdr:colOff>
      <xdr:row>67</xdr:row>
      <xdr:rowOff>139700</xdr:rowOff>
    </xdr:from>
    <xdr:to>
      <xdr:col>2</xdr:col>
      <xdr:colOff>66675</xdr:colOff>
      <xdr:row>69</xdr:row>
      <xdr:rowOff>177800</xdr:rowOff>
    </xdr:to>
    <xdr:sp macro="" textlink="'Marking Template'!D28">
      <xdr:nvSpPr>
        <xdr:cNvPr id="43" name="TextBox 42"/>
        <xdr:cNvSpPr txBox="1"/>
      </xdr:nvSpPr>
      <xdr:spPr>
        <a:xfrm>
          <a:off x="819150" y="9369425"/>
          <a:ext cx="62865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l"/>
          <a:fld id="{85EECAF0-276F-4B55-8C37-D6ADBABB6EA8}" type="TxLink">
            <a:rPr lang="en-US" sz="2000" b="1" i="0" u="none" strike="noStrike">
              <a:solidFill>
                <a:schemeClr val="bg1"/>
              </a:solidFill>
              <a:latin typeface="Century Gothic"/>
            </a:rPr>
            <a:pPr algn="l"/>
            <a:t>C-</a:t>
          </a:fld>
          <a:endParaRPr lang="en-GB" sz="2000" b="1">
            <a:solidFill>
              <a:schemeClr val="bg1"/>
            </a:solidFill>
            <a:latin typeface="Century Gothic" panose="020B0502020202020204" pitchFamily="34" charset="0"/>
          </a:endParaRPr>
        </a:p>
      </xdr:txBody>
    </xdr:sp>
    <xdr:clientData/>
  </xdr:twoCellAnchor>
  <xdr:twoCellAnchor>
    <xdr:from>
      <xdr:col>2</xdr:col>
      <xdr:colOff>419100</xdr:colOff>
      <xdr:row>75</xdr:row>
      <xdr:rowOff>120511</xdr:rowOff>
    </xdr:from>
    <xdr:to>
      <xdr:col>13</xdr:col>
      <xdr:colOff>266700</xdr:colOff>
      <xdr:row>98</xdr:row>
      <xdr:rowOff>74543</xdr:rowOff>
    </xdr:to>
    <xdr:graphicFrame macro="">
      <xdr:nvGraphicFramePr>
        <xdr:cNvPr id="45" name="Chart 4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38100</xdr:colOff>
      <xdr:row>25</xdr:row>
      <xdr:rowOff>152400</xdr:rowOff>
    </xdr:from>
    <xdr:to>
      <xdr:col>13</xdr:col>
      <xdr:colOff>371475</xdr:colOff>
      <xdr:row>73</xdr:row>
      <xdr:rowOff>142875</xdr:rowOff>
    </xdr:to>
    <xdr:sp macro="" textlink="">
      <xdr:nvSpPr>
        <xdr:cNvPr id="46" name="Rectangle 45"/>
        <xdr:cNvSpPr/>
      </xdr:nvSpPr>
      <xdr:spPr>
        <a:xfrm>
          <a:off x="38100" y="4733925"/>
          <a:ext cx="8467725" cy="4238625"/>
        </a:xfrm>
        <a:prstGeom prst="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152401</xdr:colOff>
      <xdr:row>39</xdr:row>
      <xdr:rowOff>28575</xdr:rowOff>
    </xdr:from>
    <xdr:to>
      <xdr:col>4</xdr:col>
      <xdr:colOff>304801</xdr:colOff>
      <xdr:row>73</xdr:row>
      <xdr:rowOff>85725</xdr:rowOff>
    </xdr:to>
    <xdr:sp macro="" textlink="">
      <xdr:nvSpPr>
        <xdr:cNvPr id="47" name="Rectangle 46"/>
        <xdr:cNvSpPr/>
      </xdr:nvSpPr>
      <xdr:spPr>
        <a:xfrm>
          <a:off x="1533526" y="4800600"/>
          <a:ext cx="1381125" cy="411480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314325</xdr:colOff>
      <xdr:row>40</xdr:row>
      <xdr:rowOff>57150</xdr:rowOff>
    </xdr:from>
    <xdr:to>
      <xdr:col>3</xdr:col>
      <xdr:colOff>400050</xdr:colOff>
      <xdr:row>41</xdr:row>
      <xdr:rowOff>180975</xdr:rowOff>
    </xdr:to>
    <xdr:sp macro="" textlink="'Marking Template'!C61">
      <xdr:nvSpPr>
        <xdr:cNvPr id="48" name="TextBox 47"/>
        <xdr:cNvSpPr txBox="1"/>
      </xdr:nvSpPr>
      <xdr:spPr>
        <a:xfrm>
          <a:off x="1695450" y="5038725"/>
          <a:ext cx="70485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fld id="{8D39F666-27D3-4C2C-847C-22FB0540AAD6}" type="TxLink">
            <a:rPr lang="en-US" sz="2000" b="0" i="0" u="none" strike="noStrike">
              <a:solidFill>
                <a:schemeClr val="bg1"/>
              </a:solidFill>
              <a:latin typeface="Century Gothic" panose="020B0502020202020204" pitchFamily="34" charset="0"/>
            </a:rPr>
            <a:pPr algn="ctr"/>
            <a:t>50</a:t>
          </a:fld>
          <a:endParaRPr lang="en-GB" sz="2000">
            <a:solidFill>
              <a:schemeClr val="bg1"/>
            </a:solidFill>
            <a:latin typeface="Century Gothic" pitchFamily="34" charset="0"/>
          </a:endParaRPr>
        </a:p>
      </xdr:txBody>
    </xdr:sp>
    <xdr:clientData/>
  </xdr:twoCellAnchor>
  <xdr:twoCellAnchor>
    <xdr:from>
      <xdr:col>2</xdr:col>
      <xdr:colOff>209551</xdr:colOff>
      <xdr:row>39</xdr:row>
      <xdr:rowOff>47625</xdr:rowOff>
    </xdr:from>
    <xdr:to>
      <xdr:col>4</xdr:col>
      <xdr:colOff>247651</xdr:colOff>
      <xdr:row>40</xdr:row>
      <xdr:rowOff>85726</xdr:rowOff>
    </xdr:to>
    <xdr:sp macro="" textlink="">
      <xdr:nvSpPr>
        <xdr:cNvPr id="49" name="TextBox 48"/>
        <xdr:cNvSpPr txBox="1"/>
      </xdr:nvSpPr>
      <xdr:spPr>
        <a:xfrm>
          <a:off x="1590676" y="4819650"/>
          <a:ext cx="1266825"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sz="1200" b="0" i="0" u="none" strike="noStrike">
              <a:solidFill>
                <a:schemeClr val="bg1"/>
              </a:solidFill>
              <a:latin typeface="Century Gothic" panose="020B0502020202020204" pitchFamily="34" charset="0"/>
            </a:rPr>
            <a:t>Research</a:t>
          </a:r>
        </a:p>
      </xdr:txBody>
    </xdr:sp>
    <xdr:clientData/>
  </xdr:twoCellAnchor>
  <xdr:twoCellAnchor>
    <xdr:from>
      <xdr:col>3</xdr:col>
      <xdr:colOff>209550</xdr:colOff>
      <xdr:row>40</xdr:row>
      <xdr:rowOff>57150</xdr:rowOff>
    </xdr:from>
    <xdr:to>
      <xdr:col>4</xdr:col>
      <xdr:colOff>171450</xdr:colOff>
      <xdr:row>41</xdr:row>
      <xdr:rowOff>180975</xdr:rowOff>
    </xdr:to>
    <xdr:sp macro="" textlink="'Marking Template'!D61">
      <xdr:nvSpPr>
        <xdr:cNvPr id="50" name="TextBox 49"/>
        <xdr:cNvSpPr txBox="1"/>
      </xdr:nvSpPr>
      <xdr:spPr>
        <a:xfrm>
          <a:off x="2209800" y="5038725"/>
          <a:ext cx="5715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l"/>
          <a:fld id="{A539E0B6-75C0-459E-B79C-07D60212C143}" type="TxLink">
            <a:rPr lang="en-US" sz="2000" b="0" i="0" u="none" strike="noStrike">
              <a:solidFill>
                <a:schemeClr val="bg1"/>
              </a:solidFill>
              <a:latin typeface="Century Gothic" panose="020B0502020202020204" pitchFamily="34" charset="0"/>
            </a:rPr>
            <a:pPr algn="l"/>
            <a:t>C-</a:t>
          </a:fld>
          <a:endParaRPr lang="en-GB" sz="2000">
            <a:solidFill>
              <a:schemeClr val="bg1"/>
            </a:solidFill>
            <a:latin typeface="Century Gothic" pitchFamily="34" charset="0"/>
          </a:endParaRPr>
        </a:p>
      </xdr:txBody>
    </xdr:sp>
    <xdr:clientData/>
  </xdr:twoCellAnchor>
  <xdr:twoCellAnchor>
    <xdr:from>
      <xdr:col>2</xdr:col>
      <xdr:colOff>142874</xdr:colOff>
      <xdr:row>41</xdr:row>
      <xdr:rowOff>171450</xdr:rowOff>
    </xdr:from>
    <xdr:to>
      <xdr:col>4</xdr:col>
      <xdr:colOff>342899</xdr:colOff>
      <xdr:row>47</xdr:row>
      <xdr:rowOff>142875</xdr:rowOff>
    </xdr:to>
    <xdr:sp macro="" textlink="'Marking Template'!D62">
      <xdr:nvSpPr>
        <xdr:cNvPr id="51" name="TextBox 50"/>
        <xdr:cNvSpPr txBox="1"/>
      </xdr:nvSpPr>
      <xdr:spPr>
        <a:xfrm>
          <a:off x="1523999" y="5362575"/>
          <a:ext cx="1428750" cy="1133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34F0E7E-A9EB-49F0-8E20-A87A5D074987}" type="TxLink">
            <a:rPr lang="en-US" sz="700" b="0" i="0" u="none" strike="noStrike">
              <a:solidFill>
                <a:schemeClr val="bg1"/>
              </a:solidFill>
              <a:latin typeface="Century Gothic"/>
            </a:rPr>
            <a:pPr/>
            <a:t>Sound, but with a number of shortcomings. Demonstrates C grade qualities but contains less critical analysis and little or no originality.</a:t>
          </a:fld>
          <a:endParaRPr lang="en-GB" sz="700">
            <a:solidFill>
              <a:schemeClr val="bg1"/>
            </a:solidFill>
          </a:endParaRPr>
        </a:p>
      </xdr:txBody>
    </xdr:sp>
    <xdr:clientData/>
  </xdr:twoCellAnchor>
  <xdr:twoCellAnchor>
    <xdr:from>
      <xdr:col>0</xdr:col>
      <xdr:colOff>85725</xdr:colOff>
      <xdr:row>39</xdr:row>
      <xdr:rowOff>19050</xdr:rowOff>
    </xdr:from>
    <xdr:to>
      <xdr:col>2</xdr:col>
      <xdr:colOff>104775</xdr:colOff>
      <xdr:row>73</xdr:row>
      <xdr:rowOff>76200</xdr:rowOff>
    </xdr:to>
    <xdr:sp macro="" textlink="">
      <xdr:nvSpPr>
        <xdr:cNvPr id="52" name="Rectangle 51"/>
        <xdr:cNvSpPr/>
      </xdr:nvSpPr>
      <xdr:spPr>
        <a:xfrm>
          <a:off x="85725" y="4791075"/>
          <a:ext cx="1400175" cy="41148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142875</xdr:colOff>
      <xdr:row>37</xdr:row>
      <xdr:rowOff>85725</xdr:rowOff>
    </xdr:from>
    <xdr:to>
      <xdr:col>1</xdr:col>
      <xdr:colOff>228600</xdr:colOff>
      <xdr:row>39</xdr:row>
      <xdr:rowOff>66675</xdr:rowOff>
    </xdr:to>
    <xdr:sp macro="" textlink="'Marking Template'!C58">
      <xdr:nvSpPr>
        <xdr:cNvPr id="53" name="TextBox 52"/>
        <xdr:cNvSpPr txBox="1"/>
      </xdr:nvSpPr>
      <xdr:spPr>
        <a:xfrm>
          <a:off x="142875" y="7258050"/>
          <a:ext cx="695325"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fld id="{24F52624-D687-4FE1-80CF-D10A1C8395E8}" type="TxLink">
            <a:rPr lang="en-US" sz="2000" b="1" i="0" u="none" strike="noStrike">
              <a:solidFill>
                <a:srgbClr val="000000"/>
              </a:solidFill>
              <a:latin typeface="Century Gothic" pitchFamily="34" charset="0"/>
            </a:rPr>
            <a:pPr algn="ctr"/>
            <a:t> </a:t>
          </a:fld>
          <a:endParaRPr lang="en-GB" sz="2000" b="1">
            <a:solidFill>
              <a:schemeClr val="tx1"/>
            </a:solidFill>
            <a:latin typeface="Century Gothic" pitchFamily="34" charset="0"/>
          </a:endParaRPr>
        </a:p>
      </xdr:txBody>
    </xdr:sp>
    <xdr:clientData/>
  </xdr:twoCellAnchor>
  <xdr:twoCellAnchor>
    <xdr:from>
      <xdr:col>0</xdr:col>
      <xdr:colOff>0</xdr:colOff>
      <xdr:row>37</xdr:row>
      <xdr:rowOff>180974</xdr:rowOff>
    </xdr:from>
    <xdr:to>
      <xdr:col>2</xdr:col>
      <xdr:colOff>38100</xdr:colOff>
      <xdr:row>38</xdr:row>
      <xdr:rowOff>57149</xdr:rowOff>
    </xdr:to>
    <xdr:sp macro="" textlink="">
      <xdr:nvSpPr>
        <xdr:cNvPr id="55" name="TextBox 54"/>
        <xdr:cNvSpPr txBox="1"/>
      </xdr:nvSpPr>
      <xdr:spPr>
        <a:xfrm>
          <a:off x="0" y="7353299"/>
          <a:ext cx="1419225" cy="85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sz="1200" b="1" i="0" u="none" strike="noStrike">
              <a:solidFill>
                <a:schemeClr val="tx1"/>
              </a:solidFill>
              <a:latin typeface="Century Gothic" panose="020B0502020202020204" pitchFamily="34" charset="0"/>
            </a:rPr>
            <a:t>Project 2 Total</a:t>
          </a:r>
        </a:p>
      </xdr:txBody>
    </xdr:sp>
    <xdr:clientData/>
  </xdr:twoCellAnchor>
  <xdr:twoCellAnchor>
    <xdr:from>
      <xdr:col>4</xdr:col>
      <xdr:colOff>304801</xdr:colOff>
      <xdr:row>39</xdr:row>
      <xdr:rowOff>28575</xdr:rowOff>
    </xdr:from>
    <xdr:to>
      <xdr:col>6</xdr:col>
      <xdr:colOff>457201</xdr:colOff>
      <xdr:row>73</xdr:row>
      <xdr:rowOff>85725</xdr:rowOff>
    </xdr:to>
    <xdr:sp macro="" textlink="">
      <xdr:nvSpPr>
        <xdr:cNvPr id="57" name="Rectangle 56"/>
        <xdr:cNvSpPr/>
      </xdr:nvSpPr>
      <xdr:spPr>
        <a:xfrm>
          <a:off x="2914651" y="4800600"/>
          <a:ext cx="1371600" cy="4114800"/>
        </a:xfrm>
        <a:prstGeom prst="rect">
          <a:avLst/>
        </a:prstGeom>
        <a:solidFill>
          <a:srgbClr val="FF92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333376</xdr:colOff>
      <xdr:row>39</xdr:row>
      <xdr:rowOff>47625</xdr:rowOff>
    </xdr:from>
    <xdr:to>
      <xdr:col>6</xdr:col>
      <xdr:colOff>371476</xdr:colOff>
      <xdr:row>40</xdr:row>
      <xdr:rowOff>85726</xdr:rowOff>
    </xdr:to>
    <xdr:sp macro="" textlink="">
      <xdr:nvSpPr>
        <xdr:cNvPr id="58" name="TextBox 57"/>
        <xdr:cNvSpPr txBox="1"/>
      </xdr:nvSpPr>
      <xdr:spPr>
        <a:xfrm>
          <a:off x="2943226" y="4819650"/>
          <a:ext cx="1257300"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sz="1200" b="0" i="0" u="none" strike="noStrike">
              <a:solidFill>
                <a:schemeClr val="bg1"/>
              </a:solidFill>
              <a:latin typeface="Century Gothic" panose="020B0502020202020204" pitchFamily="34" charset="0"/>
            </a:rPr>
            <a:t>Initial Ideas</a:t>
          </a:r>
        </a:p>
      </xdr:txBody>
    </xdr:sp>
    <xdr:clientData/>
  </xdr:twoCellAnchor>
  <xdr:twoCellAnchor>
    <xdr:from>
      <xdr:col>4</xdr:col>
      <xdr:colOff>409575</xdr:colOff>
      <xdr:row>40</xdr:row>
      <xdr:rowOff>57150</xdr:rowOff>
    </xdr:from>
    <xdr:to>
      <xdr:col>5</xdr:col>
      <xdr:colOff>495300</xdr:colOff>
      <xdr:row>41</xdr:row>
      <xdr:rowOff>180975</xdr:rowOff>
    </xdr:to>
    <xdr:sp macro="" textlink="'Marking Template'!C63">
      <xdr:nvSpPr>
        <xdr:cNvPr id="59" name="TextBox 58"/>
        <xdr:cNvSpPr txBox="1"/>
      </xdr:nvSpPr>
      <xdr:spPr>
        <a:xfrm>
          <a:off x="3019425" y="5038725"/>
          <a:ext cx="6953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fld id="{0BF02C44-0A78-49A0-A6FC-1DC443E17355}" type="TxLink">
            <a:rPr lang="en-US" sz="2000" b="0" i="0" u="none" strike="noStrike">
              <a:solidFill>
                <a:schemeClr val="bg1"/>
              </a:solidFill>
              <a:latin typeface="Century Gothic" panose="020B0502020202020204" pitchFamily="34" charset="0"/>
              <a:cs typeface="Calibri"/>
            </a:rPr>
            <a:pPr algn="ctr"/>
            <a:t>50</a:t>
          </a:fld>
          <a:endParaRPr lang="en-GB" sz="2000">
            <a:solidFill>
              <a:schemeClr val="bg1"/>
            </a:solidFill>
            <a:latin typeface="Century Gothic" pitchFamily="34" charset="0"/>
          </a:endParaRPr>
        </a:p>
      </xdr:txBody>
    </xdr:sp>
    <xdr:clientData/>
  </xdr:twoCellAnchor>
  <xdr:twoCellAnchor>
    <xdr:from>
      <xdr:col>5</xdr:col>
      <xdr:colOff>304800</xdr:colOff>
      <xdr:row>40</xdr:row>
      <xdr:rowOff>57150</xdr:rowOff>
    </xdr:from>
    <xdr:to>
      <xdr:col>6</xdr:col>
      <xdr:colOff>266700</xdr:colOff>
      <xdr:row>41</xdr:row>
      <xdr:rowOff>180975</xdr:rowOff>
    </xdr:to>
    <xdr:sp macro="" textlink="'Marking Template'!D63">
      <xdr:nvSpPr>
        <xdr:cNvPr id="60" name="TextBox 59"/>
        <xdr:cNvSpPr txBox="1"/>
      </xdr:nvSpPr>
      <xdr:spPr>
        <a:xfrm>
          <a:off x="3524250" y="5038725"/>
          <a:ext cx="5715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l"/>
          <a:fld id="{6F0ED3D9-E359-442F-B64E-BD97C5FBACA2}" type="TxLink">
            <a:rPr lang="en-US" sz="2000" b="0" i="0" u="none" strike="noStrike">
              <a:solidFill>
                <a:schemeClr val="bg1"/>
              </a:solidFill>
              <a:latin typeface="Century Gothic" panose="020B0502020202020204" pitchFamily="34" charset="0"/>
            </a:rPr>
            <a:pPr algn="l"/>
            <a:t>C-</a:t>
          </a:fld>
          <a:endParaRPr lang="en-GB" sz="2000">
            <a:solidFill>
              <a:schemeClr val="bg1"/>
            </a:solidFill>
            <a:latin typeface="Century Gothic" pitchFamily="34" charset="0"/>
          </a:endParaRPr>
        </a:p>
      </xdr:txBody>
    </xdr:sp>
    <xdr:clientData/>
  </xdr:twoCellAnchor>
  <xdr:twoCellAnchor>
    <xdr:from>
      <xdr:col>4</xdr:col>
      <xdr:colOff>266699</xdr:colOff>
      <xdr:row>41</xdr:row>
      <xdr:rowOff>171450</xdr:rowOff>
    </xdr:from>
    <xdr:to>
      <xdr:col>6</xdr:col>
      <xdr:colOff>466724</xdr:colOff>
      <xdr:row>47</xdr:row>
      <xdr:rowOff>142875</xdr:rowOff>
    </xdr:to>
    <xdr:sp macro="" textlink="'Marking Template'!D64">
      <xdr:nvSpPr>
        <xdr:cNvPr id="61" name="TextBox 60"/>
        <xdr:cNvSpPr txBox="1"/>
      </xdr:nvSpPr>
      <xdr:spPr>
        <a:xfrm>
          <a:off x="2876549" y="5362575"/>
          <a:ext cx="1419225" cy="1133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67987F1-5505-4E60-935F-D3926DE43CE7}" type="TxLink">
            <a:rPr lang="en-US" sz="700" b="0" i="0" u="none" strike="noStrike">
              <a:solidFill>
                <a:schemeClr val="bg1"/>
              </a:solidFill>
              <a:latin typeface="Century Gothic"/>
            </a:rPr>
            <a:pPr/>
            <a:t>Sound, but with a number of shortcomings. Demonstrates C grade qualities but contains less critical analysis and little or no originality.</a:t>
          </a:fld>
          <a:endParaRPr lang="en-GB" sz="700">
            <a:solidFill>
              <a:schemeClr val="bg1"/>
            </a:solidFill>
          </a:endParaRPr>
        </a:p>
      </xdr:txBody>
    </xdr:sp>
    <xdr:clientData/>
  </xdr:twoCellAnchor>
  <xdr:twoCellAnchor>
    <xdr:from>
      <xdr:col>6</xdr:col>
      <xdr:colOff>457201</xdr:colOff>
      <xdr:row>39</xdr:row>
      <xdr:rowOff>28575</xdr:rowOff>
    </xdr:from>
    <xdr:to>
      <xdr:col>9</xdr:col>
      <xdr:colOff>1</xdr:colOff>
      <xdr:row>73</xdr:row>
      <xdr:rowOff>85725</xdr:rowOff>
    </xdr:to>
    <xdr:sp macro="" textlink="">
      <xdr:nvSpPr>
        <xdr:cNvPr id="62" name="Rectangle 61"/>
        <xdr:cNvSpPr/>
      </xdr:nvSpPr>
      <xdr:spPr>
        <a:xfrm>
          <a:off x="4286251" y="4800600"/>
          <a:ext cx="1371600" cy="4114800"/>
        </a:xfrm>
        <a:prstGeom prst="rect">
          <a:avLst/>
        </a:prstGeom>
        <a:solidFill>
          <a:srgbClr val="FFC1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476251</xdr:colOff>
      <xdr:row>39</xdr:row>
      <xdr:rowOff>47625</xdr:rowOff>
    </xdr:from>
    <xdr:to>
      <xdr:col>8</xdr:col>
      <xdr:colOff>514351</xdr:colOff>
      <xdr:row>40</xdr:row>
      <xdr:rowOff>85726</xdr:rowOff>
    </xdr:to>
    <xdr:sp macro="" textlink="">
      <xdr:nvSpPr>
        <xdr:cNvPr id="63" name="TextBox 62"/>
        <xdr:cNvSpPr txBox="1"/>
      </xdr:nvSpPr>
      <xdr:spPr>
        <a:xfrm>
          <a:off x="4305301" y="4819650"/>
          <a:ext cx="1257300"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sz="1200" b="0" i="0" u="none" strike="noStrike">
              <a:solidFill>
                <a:schemeClr val="bg1"/>
              </a:solidFill>
              <a:latin typeface="Century Gothic" panose="020B0502020202020204" pitchFamily="34" charset="0"/>
            </a:rPr>
            <a:t>Development</a:t>
          </a:r>
        </a:p>
      </xdr:txBody>
    </xdr:sp>
    <xdr:clientData/>
  </xdr:twoCellAnchor>
  <xdr:twoCellAnchor>
    <xdr:from>
      <xdr:col>6</xdr:col>
      <xdr:colOff>571500</xdr:colOff>
      <xdr:row>40</xdr:row>
      <xdr:rowOff>57150</xdr:rowOff>
    </xdr:from>
    <xdr:to>
      <xdr:col>8</xdr:col>
      <xdr:colOff>47625</xdr:colOff>
      <xdr:row>41</xdr:row>
      <xdr:rowOff>180975</xdr:rowOff>
    </xdr:to>
    <xdr:sp macro="" textlink="'Marking Template'!C65">
      <xdr:nvSpPr>
        <xdr:cNvPr id="64" name="TextBox 63"/>
        <xdr:cNvSpPr txBox="1"/>
      </xdr:nvSpPr>
      <xdr:spPr>
        <a:xfrm>
          <a:off x="4400550" y="5038725"/>
          <a:ext cx="6953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fld id="{9DB5BCA4-1F4F-4F11-A1F6-37FC4CB332E1}" type="TxLink">
            <a:rPr lang="en-US" sz="2000" b="0" i="0" u="none" strike="noStrike">
              <a:solidFill>
                <a:schemeClr val="bg1"/>
              </a:solidFill>
              <a:latin typeface="Century Gothic" panose="020B0502020202020204" pitchFamily="34" charset="0"/>
              <a:cs typeface="Calibri"/>
            </a:rPr>
            <a:pPr algn="ctr"/>
            <a:t>50</a:t>
          </a:fld>
          <a:endParaRPr lang="en-GB" sz="2000">
            <a:solidFill>
              <a:schemeClr val="bg1"/>
            </a:solidFill>
            <a:latin typeface="Century Gothic" pitchFamily="34" charset="0"/>
          </a:endParaRPr>
        </a:p>
      </xdr:txBody>
    </xdr:sp>
    <xdr:clientData/>
  </xdr:twoCellAnchor>
  <xdr:twoCellAnchor>
    <xdr:from>
      <xdr:col>7</xdr:col>
      <xdr:colOff>466725</xdr:colOff>
      <xdr:row>40</xdr:row>
      <xdr:rowOff>57150</xdr:rowOff>
    </xdr:from>
    <xdr:to>
      <xdr:col>8</xdr:col>
      <xdr:colOff>428625</xdr:colOff>
      <xdr:row>41</xdr:row>
      <xdr:rowOff>180975</xdr:rowOff>
    </xdr:to>
    <xdr:sp macro="" textlink="'Marking Template'!D65">
      <xdr:nvSpPr>
        <xdr:cNvPr id="65" name="TextBox 64"/>
        <xdr:cNvSpPr txBox="1"/>
      </xdr:nvSpPr>
      <xdr:spPr>
        <a:xfrm>
          <a:off x="4905375" y="5038725"/>
          <a:ext cx="5715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l"/>
          <a:fld id="{535546BD-6C07-43C3-85CD-AAB6429FED81}" type="TxLink">
            <a:rPr lang="en-US" sz="2000" b="0" i="0" u="none" strike="noStrike">
              <a:solidFill>
                <a:schemeClr val="bg1"/>
              </a:solidFill>
              <a:latin typeface="Century Gothic" panose="020B0502020202020204" pitchFamily="34" charset="0"/>
            </a:rPr>
            <a:pPr algn="l"/>
            <a:t>C-</a:t>
          </a:fld>
          <a:endParaRPr lang="en-GB" sz="2000">
            <a:solidFill>
              <a:schemeClr val="bg1"/>
            </a:solidFill>
            <a:latin typeface="Century Gothic" pitchFamily="34" charset="0"/>
          </a:endParaRPr>
        </a:p>
      </xdr:txBody>
    </xdr:sp>
    <xdr:clientData/>
  </xdr:twoCellAnchor>
  <xdr:twoCellAnchor>
    <xdr:from>
      <xdr:col>6</xdr:col>
      <xdr:colOff>428624</xdr:colOff>
      <xdr:row>41</xdr:row>
      <xdr:rowOff>171450</xdr:rowOff>
    </xdr:from>
    <xdr:to>
      <xdr:col>9</xdr:col>
      <xdr:colOff>19049</xdr:colOff>
      <xdr:row>47</xdr:row>
      <xdr:rowOff>142875</xdr:rowOff>
    </xdr:to>
    <xdr:sp macro="" textlink="'Marking Template'!D66">
      <xdr:nvSpPr>
        <xdr:cNvPr id="66" name="TextBox 65"/>
        <xdr:cNvSpPr txBox="1"/>
      </xdr:nvSpPr>
      <xdr:spPr>
        <a:xfrm>
          <a:off x="4257674" y="5362575"/>
          <a:ext cx="1419225" cy="1133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990029D-A692-460A-BAE5-8102EC4B289E}" type="TxLink">
            <a:rPr lang="en-US" sz="700" b="0" i="0" u="none" strike="noStrike">
              <a:solidFill>
                <a:schemeClr val="bg1"/>
              </a:solidFill>
              <a:latin typeface="Century Gothic"/>
            </a:rPr>
            <a:pPr/>
            <a:t>Sound, but with a number of shortcomings. Demonstrates C grade qualities but contains less critical analysis and little or no originality.</a:t>
          </a:fld>
          <a:endParaRPr lang="en-GB" sz="700">
            <a:solidFill>
              <a:schemeClr val="bg1"/>
            </a:solidFill>
            <a:latin typeface="Century Gothic" panose="020B0502020202020204" pitchFamily="34" charset="0"/>
          </a:endParaRPr>
        </a:p>
      </xdr:txBody>
    </xdr:sp>
    <xdr:clientData/>
  </xdr:twoCellAnchor>
  <xdr:twoCellAnchor>
    <xdr:from>
      <xdr:col>9</xdr:col>
      <xdr:colOff>1</xdr:colOff>
      <xdr:row>39</xdr:row>
      <xdr:rowOff>28575</xdr:rowOff>
    </xdr:from>
    <xdr:to>
      <xdr:col>11</xdr:col>
      <xdr:colOff>152401</xdr:colOff>
      <xdr:row>73</xdr:row>
      <xdr:rowOff>85725</xdr:rowOff>
    </xdr:to>
    <xdr:sp macro="" textlink="">
      <xdr:nvSpPr>
        <xdr:cNvPr id="67" name="Rectangle 66"/>
        <xdr:cNvSpPr/>
      </xdr:nvSpPr>
      <xdr:spPr>
        <a:xfrm>
          <a:off x="5657851" y="4800600"/>
          <a:ext cx="1371600" cy="4114800"/>
        </a:xfrm>
        <a:prstGeom prst="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9526</xdr:colOff>
      <xdr:row>39</xdr:row>
      <xdr:rowOff>47625</xdr:rowOff>
    </xdr:from>
    <xdr:to>
      <xdr:col>11</xdr:col>
      <xdr:colOff>47626</xdr:colOff>
      <xdr:row>40</xdr:row>
      <xdr:rowOff>85726</xdr:rowOff>
    </xdr:to>
    <xdr:sp macro="" textlink="">
      <xdr:nvSpPr>
        <xdr:cNvPr id="68" name="TextBox 67"/>
        <xdr:cNvSpPr txBox="1"/>
      </xdr:nvSpPr>
      <xdr:spPr>
        <a:xfrm>
          <a:off x="5667376" y="4819650"/>
          <a:ext cx="1257300"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sz="1200" b="0" i="0" u="none" strike="noStrike">
              <a:solidFill>
                <a:schemeClr val="bg1"/>
              </a:solidFill>
              <a:latin typeface="Century Gothic" panose="020B0502020202020204" pitchFamily="34" charset="0"/>
            </a:rPr>
            <a:t>Presentation</a:t>
          </a:r>
        </a:p>
      </xdr:txBody>
    </xdr:sp>
    <xdr:clientData/>
  </xdr:twoCellAnchor>
  <xdr:twoCellAnchor>
    <xdr:from>
      <xdr:col>9</xdr:col>
      <xdr:colOff>171450</xdr:colOff>
      <xdr:row>40</xdr:row>
      <xdr:rowOff>57150</xdr:rowOff>
    </xdr:from>
    <xdr:to>
      <xdr:col>10</xdr:col>
      <xdr:colOff>257175</xdr:colOff>
      <xdr:row>41</xdr:row>
      <xdr:rowOff>180975</xdr:rowOff>
    </xdr:to>
    <xdr:sp macro="" textlink="'Marking Template'!C67">
      <xdr:nvSpPr>
        <xdr:cNvPr id="69" name="TextBox 68"/>
        <xdr:cNvSpPr txBox="1"/>
      </xdr:nvSpPr>
      <xdr:spPr>
        <a:xfrm>
          <a:off x="5829300" y="5038725"/>
          <a:ext cx="6953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fld id="{53BDFE49-E17C-46B0-B926-187F0DAD29AC}" type="TxLink">
            <a:rPr lang="en-US" sz="2000" b="0" i="0" u="none" strike="noStrike">
              <a:solidFill>
                <a:schemeClr val="bg1"/>
              </a:solidFill>
              <a:latin typeface="Century Gothic" panose="020B0502020202020204" pitchFamily="34" charset="0"/>
              <a:cs typeface="Calibri"/>
            </a:rPr>
            <a:pPr algn="ctr"/>
            <a:t>50</a:t>
          </a:fld>
          <a:endParaRPr lang="en-GB" sz="2000">
            <a:solidFill>
              <a:schemeClr val="bg1"/>
            </a:solidFill>
            <a:latin typeface="Century Gothic" pitchFamily="34" charset="0"/>
          </a:endParaRPr>
        </a:p>
      </xdr:txBody>
    </xdr:sp>
    <xdr:clientData/>
  </xdr:twoCellAnchor>
  <xdr:twoCellAnchor>
    <xdr:from>
      <xdr:col>10</xdr:col>
      <xdr:colOff>66675</xdr:colOff>
      <xdr:row>40</xdr:row>
      <xdr:rowOff>57150</xdr:rowOff>
    </xdr:from>
    <xdr:to>
      <xdr:col>11</xdr:col>
      <xdr:colOff>28575</xdr:colOff>
      <xdr:row>41</xdr:row>
      <xdr:rowOff>180975</xdr:rowOff>
    </xdr:to>
    <xdr:sp macro="" textlink="'Marking Template'!D67">
      <xdr:nvSpPr>
        <xdr:cNvPr id="70" name="TextBox 69"/>
        <xdr:cNvSpPr txBox="1"/>
      </xdr:nvSpPr>
      <xdr:spPr>
        <a:xfrm>
          <a:off x="6334125" y="5038725"/>
          <a:ext cx="5715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l"/>
          <a:fld id="{59B7F72C-0D8C-45B4-A9E5-EA7FA3464BA1}" type="TxLink">
            <a:rPr lang="en-US" sz="2000" b="0" i="0" u="none" strike="noStrike">
              <a:solidFill>
                <a:schemeClr val="bg1"/>
              </a:solidFill>
              <a:latin typeface="Century Gothic" panose="020B0502020202020204" pitchFamily="34" charset="0"/>
            </a:rPr>
            <a:pPr algn="l"/>
            <a:t>C-</a:t>
          </a:fld>
          <a:endParaRPr lang="en-GB" sz="2000">
            <a:solidFill>
              <a:schemeClr val="bg1"/>
            </a:solidFill>
            <a:latin typeface="Century Gothic" pitchFamily="34" charset="0"/>
          </a:endParaRPr>
        </a:p>
      </xdr:txBody>
    </xdr:sp>
    <xdr:clientData/>
  </xdr:twoCellAnchor>
  <xdr:oneCellAnchor>
    <xdr:from>
      <xdr:col>8</xdr:col>
      <xdr:colOff>657224</xdr:colOff>
      <xdr:row>41</xdr:row>
      <xdr:rowOff>180975</xdr:rowOff>
    </xdr:from>
    <xdr:ext cx="1419225" cy="1121188"/>
    <xdr:sp macro="" textlink="'Marking Template'!D68" fLocksText="0">
      <xdr:nvSpPr>
        <xdr:cNvPr id="71" name="TextBox 70"/>
        <xdr:cNvSpPr txBox="1"/>
      </xdr:nvSpPr>
      <xdr:spPr>
        <a:xfrm>
          <a:off x="6095999" y="5372100"/>
          <a:ext cx="1419225" cy="11211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fld id="{B1A5FC9C-F34C-4B07-8245-417522F50702}" type="TxLink">
            <a:rPr lang="en-US" sz="700" b="0" i="0" u="none" strike="noStrike">
              <a:solidFill>
                <a:schemeClr val="bg1"/>
              </a:solidFill>
              <a:latin typeface="Century Gothic"/>
            </a:rPr>
            <a:pPr/>
            <a:t>Sound, but with a number of shortcomings. Demonstrates C grade qualities but contains less critical analysis and little or no originality.</a:t>
          </a:fld>
          <a:endParaRPr lang="en-GB" sz="700">
            <a:solidFill>
              <a:schemeClr val="bg1"/>
            </a:solidFill>
            <a:latin typeface="Century Gothic" panose="020B0502020202020204" pitchFamily="34" charset="0"/>
          </a:endParaRPr>
        </a:p>
      </xdr:txBody>
    </xdr:sp>
    <xdr:clientData fLocksWithSheet="0"/>
  </xdr:oneCellAnchor>
  <xdr:twoCellAnchor>
    <xdr:from>
      <xdr:col>11</xdr:col>
      <xdr:colOff>152401</xdr:colOff>
      <xdr:row>39</xdr:row>
      <xdr:rowOff>28575</xdr:rowOff>
    </xdr:from>
    <xdr:to>
      <xdr:col>13</xdr:col>
      <xdr:colOff>304801</xdr:colOff>
      <xdr:row>73</xdr:row>
      <xdr:rowOff>85725</xdr:rowOff>
    </xdr:to>
    <xdr:sp macro="" textlink="">
      <xdr:nvSpPr>
        <xdr:cNvPr id="72" name="Rectangle 71"/>
        <xdr:cNvSpPr/>
      </xdr:nvSpPr>
      <xdr:spPr>
        <a:xfrm>
          <a:off x="7029451" y="4800600"/>
          <a:ext cx="1409700" cy="4114800"/>
        </a:xfrm>
        <a:prstGeom prst="rect">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171450</xdr:colOff>
      <xdr:row>39</xdr:row>
      <xdr:rowOff>47625</xdr:rowOff>
    </xdr:from>
    <xdr:to>
      <xdr:col>13</xdr:col>
      <xdr:colOff>285750</xdr:colOff>
      <xdr:row>40</xdr:row>
      <xdr:rowOff>85726</xdr:rowOff>
    </xdr:to>
    <xdr:sp macro="" textlink="">
      <xdr:nvSpPr>
        <xdr:cNvPr id="73" name="TextBox 72"/>
        <xdr:cNvSpPr txBox="1"/>
      </xdr:nvSpPr>
      <xdr:spPr>
        <a:xfrm>
          <a:off x="7048500" y="4819650"/>
          <a:ext cx="1371600"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sz="1200" b="0" i="0" u="none" strike="noStrike">
              <a:solidFill>
                <a:schemeClr val="bg1"/>
              </a:solidFill>
              <a:latin typeface="Century Gothic" panose="020B0502020202020204" pitchFamily="34" charset="0"/>
            </a:rPr>
            <a:t>Pride</a:t>
          </a:r>
        </a:p>
      </xdr:txBody>
    </xdr:sp>
    <xdr:clientData/>
  </xdr:twoCellAnchor>
  <xdr:twoCellAnchor>
    <xdr:from>
      <xdr:col>11</xdr:col>
      <xdr:colOff>342900</xdr:colOff>
      <xdr:row>40</xdr:row>
      <xdr:rowOff>57150</xdr:rowOff>
    </xdr:from>
    <xdr:to>
      <xdr:col>12</xdr:col>
      <xdr:colOff>428625</xdr:colOff>
      <xdr:row>41</xdr:row>
      <xdr:rowOff>180975</xdr:rowOff>
    </xdr:to>
    <xdr:sp macro="" textlink="'Marking Template'!C69">
      <xdr:nvSpPr>
        <xdr:cNvPr id="74" name="TextBox 73"/>
        <xdr:cNvSpPr txBox="1"/>
      </xdr:nvSpPr>
      <xdr:spPr>
        <a:xfrm>
          <a:off x="7219950" y="5038725"/>
          <a:ext cx="6953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fld id="{5A5B78F4-161D-473B-BC52-509EE964F086}" type="TxLink">
            <a:rPr lang="en-US" sz="2000" b="0" i="0" u="none" strike="noStrike">
              <a:solidFill>
                <a:schemeClr val="bg1"/>
              </a:solidFill>
              <a:latin typeface="Century Gothic" panose="020B0502020202020204" pitchFamily="34" charset="0"/>
              <a:cs typeface="Calibri"/>
            </a:rPr>
            <a:pPr algn="ctr"/>
            <a:t>50</a:t>
          </a:fld>
          <a:endParaRPr lang="en-GB" sz="2000">
            <a:solidFill>
              <a:schemeClr val="bg1"/>
            </a:solidFill>
            <a:latin typeface="Century Gothic" pitchFamily="34" charset="0"/>
          </a:endParaRPr>
        </a:p>
      </xdr:txBody>
    </xdr:sp>
    <xdr:clientData/>
  </xdr:twoCellAnchor>
  <xdr:twoCellAnchor>
    <xdr:from>
      <xdr:col>12</xdr:col>
      <xdr:colOff>257175</xdr:colOff>
      <xdr:row>40</xdr:row>
      <xdr:rowOff>57150</xdr:rowOff>
    </xdr:from>
    <xdr:to>
      <xdr:col>13</xdr:col>
      <xdr:colOff>219075</xdr:colOff>
      <xdr:row>41</xdr:row>
      <xdr:rowOff>180975</xdr:rowOff>
    </xdr:to>
    <xdr:sp macro="" textlink="'Marking Template'!D69">
      <xdr:nvSpPr>
        <xdr:cNvPr id="75" name="TextBox 74"/>
        <xdr:cNvSpPr txBox="1"/>
      </xdr:nvSpPr>
      <xdr:spPr>
        <a:xfrm>
          <a:off x="7743825" y="5038725"/>
          <a:ext cx="609600"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l"/>
          <a:fld id="{4FA9BC5A-C2C7-4875-ADC0-9B396F58F1DB}" type="TxLink">
            <a:rPr lang="en-US" sz="2000" b="0" i="0" u="none" strike="noStrike">
              <a:solidFill>
                <a:schemeClr val="bg1"/>
              </a:solidFill>
              <a:latin typeface="Century Gothic" panose="020B0502020202020204" pitchFamily="34" charset="0"/>
            </a:rPr>
            <a:pPr algn="l"/>
            <a:t>C-</a:t>
          </a:fld>
          <a:endParaRPr lang="en-GB" sz="2000">
            <a:solidFill>
              <a:schemeClr val="bg1"/>
            </a:solidFill>
            <a:latin typeface="Century Gothic" pitchFamily="34" charset="0"/>
          </a:endParaRPr>
        </a:p>
      </xdr:txBody>
    </xdr:sp>
    <xdr:clientData/>
  </xdr:twoCellAnchor>
  <xdr:twoCellAnchor>
    <xdr:from>
      <xdr:col>11</xdr:col>
      <xdr:colOff>152399</xdr:colOff>
      <xdr:row>41</xdr:row>
      <xdr:rowOff>171450</xdr:rowOff>
    </xdr:from>
    <xdr:to>
      <xdr:col>13</xdr:col>
      <xdr:colOff>352424</xdr:colOff>
      <xdr:row>47</xdr:row>
      <xdr:rowOff>142875</xdr:rowOff>
    </xdr:to>
    <xdr:sp macro="" textlink="'Marking Template'!D70">
      <xdr:nvSpPr>
        <xdr:cNvPr id="76" name="TextBox 75"/>
        <xdr:cNvSpPr txBox="1"/>
      </xdr:nvSpPr>
      <xdr:spPr>
        <a:xfrm>
          <a:off x="7029449" y="5362575"/>
          <a:ext cx="1457325" cy="1133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6FCCE2E-76BF-46E7-B372-B635BDAFD343}" type="TxLink">
            <a:rPr lang="en-US" sz="700" b="0" i="0" u="none" strike="noStrike">
              <a:solidFill>
                <a:schemeClr val="bg1"/>
              </a:solidFill>
              <a:latin typeface="Century Gothic"/>
            </a:rPr>
            <a:pPr/>
            <a:t>Sound, but with a number of shortcomings. Demonstrates C grade qualities but contains less critical analysis and little or no originality.</a:t>
          </a:fld>
          <a:endParaRPr lang="en-GB" sz="700">
            <a:solidFill>
              <a:schemeClr val="bg1"/>
            </a:solidFill>
            <a:latin typeface="Century Gothic" panose="020B0502020202020204" pitchFamily="34" charset="0"/>
          </a:endParaRPr>
        </a:p>
      </xdr:txBody>
    </xdr:sp>
    <xdr:clientData/>
  </xdr:twoCellAnchor>
  <xdr:twoCellAnchor>
    <xdr:from>
      <xdr:col>2</xdr:col>
      <xdr:colOff>555625</xdr:colOff>
      <xdr:row>64</xdr:row>
      <xdr:rowOff>149225</xdr:rowOff>
    </xdr:from>
    <xdr:to>
      <xdr:col>5</xdr:col>
      <xdr:colOff>63500</xdr:colOff>
      <xdr:row>66</xdr:row>
      <xdr:rowOff>63500</xdr:rowOff>
    </xdr:to>
    <xdr:sp macro="" textlink="'Class List'!D1">
      <xdr:nvSpPr>
        <xdr:cNvPr id="78" name="TextBox 77"/>
        <xdr:cNvSpPr txBox="1"/>
      </xdr:nvSpPr>
      <xdr:spPr>
        <a:xfrm>
          <a:off x="1936750" y="8807450"/>
          <a:ext cx="13462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7841BC6-25FF-4686-B5A1-5FB8C556D26E}" type="TxLink">
            <a:rPr lang="en-US" sz="1200" b="1" i="0" u="none" strike="noStrike">
              <a:solidFill>
                <a:schemeClr val="bg1"/>
              </a:solidFill>
              <a:latin typeface="Century Gothic"/>
              <a:cs typeface="Calibri"/>
            </a:rPr>
            <a:pPr/>
            <a:t>Project 1</a:t>
          </a:fld>
          <a:endParaRPr lang="en-GB" sz="1200" b="1">
            <a:solidFill>
              <a:schemeClr val="bg1"/>
            </a:solidFill>
            <a:latin typeface="Century Gothic" panose="020B0502020202020204" pitchFamily="34" charset="0"/>
          </a:endParaRPr>
        </a:p>
      </xdr:txBody>
    </xdr:sp>
    <xdr:clientData/>
  </xdr:twoCellAnchor>
  <xdr:twoCellAnchor>
    <xdr:from>
      <xdr:col>0</xdr:col>
      <xdr:colOff>66675</xdr:colOff>
      <xdr:row>90</xdr:row>
      <xdr:rowOff>136525</xdr:rowOff>
    </xdr:from>
    <xdr:to>
      <xdr:col>2</xdr:col>
      <xdr:colOff>400050</xdr:colOff>
      <xdr:row>92</xdr:row>
      <xdr:rowOff>50800</xdr:rowOff>
    </xdr:to>
    <xdr:sp macro="" textlink="M1">
      <xdr:nvSpPr>
        <xdr:cNvPr id="79" name="TextBox 78"/>
        <xdr:cNvSpPr txBox="1"/>
      </xdr:nvSpPr>
      <xdr:spPr>
        <a:xfrm>
          <a:off x="66675" y="15281275"/>
          <a:ext cx="17145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2A6ED80-2972-4407-BF8B-B9E45FE75D83}" type="TxLink">
            <a:rPr lang="en-US" sz="1200" b="1" i="0" u="none" strike="noStrike">
              <a:solidFill>
                <a:schemeClr val="bg1"/>
              </a:solidFill>
              <a:latin typeface="Century Gothic"/>
            </a:rPr>
            <a:pPr/>
            <a:t> </a:t>
          </a:fld>
          <a:endParaRPr lang="en-GB" sz="1200" b="1">
            <a:solidFill>
              <a:schemeClr val="bg1"/>
            </a:solidFill>
            <a:latin typeface="Century Gothic" panose="020B0502020202020204" pitchFamily="34" charset="0"/>
          </a:endParaRPr>
        </a:p>
      </xdr:txBody>
    </xdr:sp>
    <xdr:clientData/>
  </xdr:twoCellAnchor>
  <xdr:twoCellAnchor>
    <xdr:from>
      <xdr:col>0</xdr:col>
      <xdr:colOff>165100</xdr:colOff>
      <xdr:row>61</xdr:row>
      <xdr:rowOff>149225</xdr:rowOff>
    </xdr:from>
    <xdr:to>
      <xdr:col>2</xdr:col>
      <xdr:colOff>130175</xdr:colOff>
      <xdr:row>63</xdr:row>
      <xdr:rowOff>63500</xdr:rowOff>
    </xdr:to>
    <xdr:sp macro="" textlink="A1">
      <xdr:nvSpPr>
        <xdr:cNvPr id="103" name="TextBox 102"/>
        <xdr:cNvSpPr txBox="1"/>
      </xdr:nvSpPr>
      <xdr:spPr>
        <a:xfrm>
          <a:off x="165100" y="8807450"/>
          <a:ext cx="13462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B75DFCA-51F7-46C4-BB94-65F09D0A743E}" type="TxLink">
            <a:rPr lang="en-US" sz="1200" b="1" i="0" u="none" strike="noStrike">
              <a:solidFill>
                <a:schemeClr val="bg1"/>
              </a:solidFill>
              <a:latin typeface="Century Gothic"/>
            </a:rPr>
            <a:pPr/>
            <a:t>Marking Template</a:t>
          </a:fld>
          <a:endParaRPr lang="en-GB" sz="1200" b="1">
            <a:solidFill>
              <a:schemeClr val="bg1"/>
            </a:solidFill>
            <a:latin typeface="Century Gothic" panose="020B0502020202020204" pitchFamily="34" charset="0"/>
          </a:endParaRPr>
        </a:p>
      </xdr:txBody>
    </xdr:sp>
    <xdr:clientData/>
  </xdr:twoCellAnchor>
  <xdr:twoCellAnchor>
    <xdr:from>
      <xdr:col>12</xdr:col>
      <xdr:colOff>85407</xdr:colOff>
      <xdr:row>93</xdr:row>
      <xdr:rowOff>3174</xdr:rowOff>
    </xdr:from>
    <xdr:to>
      <xdr:col>13</xdr:col>
      <xdr:colOff>456881</xdr:colOff>
      <xdr:row>94</xdr:row>
      <xdr:rowOff>107949</xdr:rowOff>
    </xdr:to>
    <xdr:sp macro="" textlink="'Marking Template'!B25">
      <xdr:nvSpPr>
        <xdr:cNvPr id="118" name="TextBox 117"/>
        <xdr:cNvSpPr txBox="1"/>
      </xdr:nvSpPr>
      <xdr:spPr>
        <a:xfrm>
          <a:off x="7572057" y="15119349"/>
          <a:ext cx="1019174"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D3D6C93-13B7-469B-B6CA-2027B7F1E204}" type="TxLink">
            <a:rPr lang="en-US" sz="1200" b="1" i="0" u="none" strike="noStrike">
              <a:solidFill>
                <a:schemeClr val="bg1"/>
              </a:solidFill>
              <a:latin typeface="Century Gothic" panose="020B0502020202020204" pitchFamily="34" charset="0"/>
              <a:cs typeface="Calibri"/>
            </a:rPr>
            <a:pPr/>
            <a:t>21/05/2019</a:t>
          </a:fld>
          <a:endParaRPr lang="en-GB" sz="1200" b="1">
            <a:solidFill>
              <a:schemeClr val="bg1"/>
            </a:solidFill>
            <a:latin typeface="Century Gothic" panose="020B0502020202020204" pitchFamily="34" charset="0"/>
          </a:endParaRPr>
        </a:p>
      </xdr:txBody>
    </xdr:sp>
    <xdr:clientData/>
  </xdr:twoCellAnchor>
  <xdr:twoCellAnchor>
    <xdr:from>
      <xdr:col>1</xdr:col>
      <xdr:colOff>209232</xdr:colOff>
      <xdr:row>95</xdr:row>
      <xdr:rowOff>174624</xdr:rowOff>
    </xdr:from>
    <xdr:to>
      <xdr:col>2</xdr:col>
      <xdr:colOff>123507</xdr:colOff>
      <xdr:row>98</xdr:row>
      <xdr:rowOff>22224</xdr:rowOff>
    </xdr:to>
    <xdr:sp macro="" textlink="'Marking Template'!D58">
      <xdr:nvSpPr>
        <xdr:cNvPr id="120" name="TextBox 119"/>
        <xdr:cNvSpPr txBox="1"/>
      </xdr:nvSpPr>
      <xdr:spPr>
        <a:xfrm>
          <a:off x="818832" y="15671799"/>
          <a:ext cx="68580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l"/>
          <a:fld id="{4A1A1863-0C99-4173-86BD-E0AD3B0BD197}" type="TxLink">
            <a:rPr lang="en-US" sz="2000" b="1" i="0" u="none" strike="noStrike">
              <a:solidFill>
                <a:schemeClr val="bg1"/>
              </a:solidFill>
              <a:latin typeface="Century Gothic"/>
            </a:rPr>
            <a:pPr algn="l"/>
            <a:t> </a:t>
          </a:fld>
          <a:endParaRPr lang="en-GB" sz="2000" b="1">
            <a:solidFill>
              <a:schemeClr val="bg1"/>
            </a:solidFill>
            <a:latin typeface="Century Gothic" panose="020B0502020202020204" pitchFamily="34" charset="0"/>
          </a:endParaRPr>
        </a:p>
      </xdr:txBody>
    </xdr:sp>
    <xdr:clientData/>
  </xdr:twoCellAnchor>
  <xdr:twoCellAnchor>
    <xdr:from>
      <xdr:col>2</xdr:col>
      <xdr:colOff>555307</xdr:colOff>
      <xdr:row>92</xdr:row>
      <xdr:rowOff>155574</xdr:rowOff>
    </xdr:from>
    <xdr:to>
      <xdr:col>5</xdr:col>
      <xdr:colOff>110807</xdr:colOff>
      <xdr:row>94</xdr:row>
      <xdr:rowOff>98424</xdr:rowOff>
    </xdr:to>
    <xdr:sp macro="" textlink="'Class List'!F1">
      <xdr:nvSpPr>
        <xdr:cNvPr id="123" name="TextBox 122"/>
        <xdr:cNvSpPr txBox="1"/>
      </xdr:nvSpPr>
      <xdr:spPr>
        <a:xfrm>
          <a:off x="1936432" y="15109824"/>
          <a:ext cx="13938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89216B4-1EC5-49AD-A15D-01C8F8A725A4}" type="TxLink">
            <a:rPr lang="en-US" sz="1200" b="1" i="0" u="none" strike="noStrike">
              <a:solidFill>
                <a:schemeClr val="bg1"/>
              </a:solidFill>
              <a:latin typeface="Century Gothic"/>
              <a:cs typeface="Calibri"/>
            </a:rPr>
            <a:pPr/>
            <a:t>Project 2</a:t>
          </a:fld>
          <a:endParaRPr lang="en-GB" sz="1200" b="1">
            <a:solidFill>
              <a:schemeClr val="bg1"/>
            </a:solidFill>
            <a:latin typeface="Century Gothic" panose="020B0502020202020204" pitchFamily="34" charset="0"/>
          </a:endParaRPr>
        </a:p>
      </xdr:txBody>
    </xdr:sp>
    <xdr:clientData/>
  </xdr:twoCellAnchor>
  <xdr:twoCellAnchor>
    <xdr:from>
      <xdr:col>0</xdr:col>
      <xdr:colOff>142875</xdr:colOff>
      <xdr:row>68</xdr:row>
      <xdr:rowOff>85725</xdr:rowOff>
    </xdr:from>
    <xdr:to>
      <xdr:col>1</xdr:col>
      <xdr:colOff>228600</xdr:colOff>
      <xdr:row>70</xdr:row>
      <xdr:rowOff>66675</xdr:rowOff>
    </xdr:to>
    <xdr:sp macro="" textlink="'Marking Template'!C58">
      <xdr:nvSpPr>
        <xdr:cNvPr id="99" name="TextBox 98"/>
        <xdr:cNvSpPr txBox="1"/>
      </xdr:nvSpPr>
      <xdr:spPr>
        <a:xfrm>
          <a:off x="142875" y="7258050"/>
          <a:ext cx="695325"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fld id="{24F52624-D687-4FE1-80CF-D10A1C8395E8}" type="TxLink">
            <a:rPr lang="en-US" sz="2000" b="1" i="0" u="none" strike="noStrike">
              <a:solidFill>
                <a:srgbClr val="000000"/>
              </a:solidFill>
              <a:latin typeface="Century Gothic" pitchFamily="34" charset="0"/>
              <a:cs typeface="Calibri"/>
            </a:rPr>
            <a:pPr algn="ctr"/>
            <a:t> </a:t>
          </a:fld>
          <a:endParaRPr lang="en-GB" sz="2000" b="1">
            <a:solidFill>
              <a:schemeClr val="tx1"/>
            </a:solidFill>
            <a:latin typeface="Century Gothic" pitchFamily="34" charset="0"/>
          </a:endParaRPr>
        </a:p>
      </xdr:txBody>
    </xdr:sp>
    <xdr:clientData/>
  </xdr:twoCellAnchor>
  <xdr:twoCellAnchor>
    <xdr:from>
      <xdr:col>0</xdr:col>
      <xdr:colOff>0</xdr:colOff>
      <xdr:row>68</xdr:row>
      <xdr:rowOff>180974</xdr:rowOff>
    </xdr:from>
    <xdr:to>
      <xdr:col>2</xdr:col>
      <xdr:colOff>38100</xdr:colOff>
      <xdr:row>69</xdr:row>
      <xdr:rowOff>57149</xdr:rowOff>
    </xdr:to>
    <xdr:sp macro="" textlink="">
      <xdr:nvSpPr>
        <xdr:cNvPr id="100" name="TextBox 99"/>
        <xdr:cNvSpPr txBox="1"/>
      </xdr:nvSpPr>
      <xdr:spPr>
        <a:xfrm>
          <a:off x="0" y="7353299"/>
          <a:ext cx="1419225" cy="95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sz="1200" b="1" i="0" u="none" strike="noStrike">
              <a:solidFill>
                <a:schemeClr val="tx1"/>
              </a:solidFill>
              <a:latin typeface="Century Gothic" panose="020B0502020202020204" pitchFamily="34" charset="0"/>
            </a:rPr>
            <a:t>Project 2 Total</a:t>
          </a:r>
        </a:p>
      </xdr:txBody>
    </xdr:sp>
    <xdr:clientData/>
  </xdr:twoCellAnchor>
  <xdr:twoCellAnchor>
    <xdr:from>
      <xdr:col>0</xdr:col>
      <xdr:colOff>161927</xdr:colOff>
      <xdr:row>40</xdr:row>
      <xdr:rowOff>66675</xdr:rowOff>
    </xdr:from>
    <xdr:to>
      <xdr:col>1</xdr:col>
      <xdr:colOff>247652</xdr:colOff>
      <xdr:row>42</xdr:row>
      <xdr:rowOff>28575</xdr:rowOff>
    </xdr:to>
    <xdr:sp macro="" textlink="'Marking Template'!C59">
      <xdr:nvSpPr>
        <xdr:cNvPr id="106" name="TextBox 105"/>
        <xdr:cNvSpPr txBox="1"/>
      </xdr:nvSpPr>
      <xdr:spPr>
        <a:xfrm>
          <a:off x="161927" y="5048250"/>
          <a:ext cx="69532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fld id="{85B2F10D-FEB6-4775-A8C5-54E5A90AA354}" type="TxLink">
            <a:rPr lang="en-US" sz="2000" b="1" i="0" u="none" strike="noStrike">
              <a:solidFill>
                <a:srgbClr val="000000"/>
              </a:solidFill>
              <a:latin typeface="Century Gothic" panose="020B0502020202020204" pitchFamily="34" charset="0"/>
              <a:cs typeface="Calibri"/>
            </a:rPr>
            <a:pPr algn="ctr"/>
            <a:t>50</a:t>
          </a:fld>
          <a:endParaRPr lang="en-GB" sz="2000" b="1">
            <a:solidFill>
              <a:schemeClr val="tx1"/>
            </a:solidFill>
            <a:latin typeface="Century Gothic" panose="020B0502020202020204" pitchFamily="34" charset="0"/>
          </a:endParaRPr>
        </a:p>
      </xdr:txBody>
    </xdr:sp>
    <xdr:clientData/>
  </xdr:twoCellAnchor>
  <xdr:twoCellAnchor>
    <xdr:from>
      <xdr:col>1</xdr:col>
      <xdr:colOff>85727</xdr:colOff>
      <xdr:row>40</xdr:row>
      <xdr:rowOff>57150</xdr:rowOff>
    </xdr:from>
    <xdr:to>
      <xdr:col>2</xdr:col>
      <xdr:colOff>47627</xdr:colOff>
      <xdr:row>42</xdr:row>
      <xdr:rowOff>19050</xdr:rowOff>
    </xdr:to>
    <xdr:sp macro="" textlink="'Marking Template'!D59">
      <xdr:nvSpPr>
        <xdr:cNvPr id="107" name="TextBox 106"/>
        <xdr:cNvSpPr txBox="1"/>
      </xdr:nvSpPr>
      <xdr:spPr>
        <a:xfrm>
          <a:off x="695327" y="5038725"/>
          <a:ext cx="73342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l"/>
          <a:fld id="{4B7F14B2-697B-4817-B3F7-30272C4A2F75}" type="TxLink">
            <a:rPr lang="en-US" sz="2000" b="1" i="0" u="none" strike="noStrike">
              <a:solidFill>
                <a:srgbClr val="000000"/>
              </a:solidFill>
              <a:latin typeface="Century Gothic" panose="020B0502020202020204" pitchFamily="34" charset="0"/>
            </a:rPr>
            <a:pPr algn="l"/>
            <a:t>C-</a:t>
          </a:fld>
          <a:endParaRPr lang="en-GB" sz="2000" b="1">
            <a:solidFill>
              <a:schemeClr val="tx1"/>
            </a:solidFill>
            <a:latin typeface="Century Gothic" panose="020B0502020202020204" pitchFamily="34" charset="0"/>
          </a:endParaRPr>
        </a:p>
      </xdr:txBody>
    </xdr:sp>
    <xdr:clientData/>
  </xdr:twoCellAnchor>
  <xdr:twoCellAnchor>
    <xdr:from>
      <xdr:col>0</xdr:col>
      <xdr:colOff>19052</xdr:colOff>
      <xdr:row>39</xdr:row>
      <xdr:rowOff>19050</xdr:rowOff>
    </xdr:from>
    <xdr:to>
      <xdr:col>2</xdr:col>
      <xdr:colOff>57152</xdr:colOff>
      <xdr:row>40</xdr:row>
      <xdr:rowOff>190500</xdr:rowOff>
    </xdr:to>
    <xdr:sp macro="" textlink="">
      <xdr:nvSpPr>
        <xdr:cNvPr id="108" name="TextBox 107"/>
        <xdr:cNvSpPr txBox="1"/>
      </xdr:nvSpPr>
      <xdr:spPr>
        <a:xfrm>
          <a:off x="19052" y="4791075"/>
          <a:ext cx="141922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sz="1200" b="1" i="0" u="none" strike="noStrike">
              <a:solidFill>
                <a:schemeClr val="tx1"/>
              </a:solidFill>
              <a:latin typeface="Century Gothic" panose="020B0502020202020204" pitchFamily="34" charset="0"/>
            </a:rPr>
            <a:t>Project 2 Total</a:t>
          </a:r>
        </a:p>
      </xdr:txBody>
    </xdr:sp>
    <xdr:clientData/>
  </xdr:twoCellAnchor>
  <xdr:twoCellAnchor>
    <xdr:from>
      <xdr:col>0</xdr:col>
      <xdr:colOff>57153</xdr:colOff>
      <xdr:row>41</xdr:row>
      <xdr:rowOff>171450</xdr:rowOff>
    </xdr:from>
    <xdr:to>
      <xdr:col>2</xdr:col>
      <xdr:colOff>180977</xdr:colOff>
      <xdr:row>71</xdr:row>
      <xdr:rowOff>66675</xdr:rowOff>
    </xdr:to>
    <xdr:sp macro="" textlink="'Marking Template'!D60">
      <xdr:nvSpPr>
        <xdr:cNvPr id="109" name="TextBox 108"/>
        <xdr:cNvSpPr txBox="1"/>
      </xdr:nvSpPr>
      <xdr:spPr>
        <a:xfrm>
          <a:off x="57153" y="5362575"/>
          <a:ext cx="1504949" cy="3152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85C6173-7D74-4893-9B33-D436A09B66C4}" type="TxLink">
            <a:rPr lang="en-US" sz="1100" b="0" i="0" u="none" strike="noStrike">
              <a:solidFill>
                <a:srgbClr val="000000"/>
              </a:solidFill>
              <a:latin typeface="Century Gothic"/>
            </a:rPr>
            <a:pPr/>
            <a:t>Sound, but with a number of shortcomings. Demonstrates C grade qualities but contains less critical analysis and little or no originality.</a:t>
          </a:fld>
          <a:endParaRPr lang="en-GB" sz="1200" b="1">
            <a:solidFill>
              <a:schemeClr val="tx1"/>
            </a:solidFill>
          </a:endParaRPr>
        </a:p>
      </xdr:txBody>
    </xdr:sp>
    <xdr:clientData/>
  </xdr:twoCellAnchor>
  <xdr:twoCellAnchor>
    <xdr:from>
      <xdr:col>0</xdr:col>
      <xdr:colOff>343218</xdr:colOff>
      <xdr:row>78</xdr:row>
      <xdr:rowOff>95250</xdr:rowOff>
    </xdr:from>
    <xdr:to>
      <xdr:col>1</xdr:col>
      <xdr:colOff>428943</xdr:colOff>
      <xdr:row>80</xdr:row>
      <xdr:rowOff>95250</xdr:rowOff>
    </xdr:to>
    <xdr:sp macro="" textlink="'Marking Template'!C28">
      <xdr:nvSpPr>
        <xdr:cNvPr id="127" name="TextBox 126"/>
        <xdr:cNvSpPr txBox="1"/>
      </xdr:nvSpPr>
      <xdr:spPr>
        <a:xfrm>
          <a:off x="343218" y="9877425"/>
          <a:ext cx="7429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fld id="{96695726-9571-4166-BB16-89BAB0E64F45}" type="TxLink">
            <a:rPr lang="en-US" sz="2000" b="1" i="0" u="none" strike="noStrike">
              <a:solidFill>
                <a:schemeClr val="bg1"/>
              </a:solidFill>
              <a:latin typeface="Century Gothic" panose="020B0502020202020204" pitchFamily="34" charset="0"/>
              <a:cs typeface="Calibri"/>
            </a:rPr>
            <a:pPr algn="ctr"/>
            <a:t>50</a:t>
          </a:fld>
          <a:endParaRPr lang="en-GB" sz="2000" b="1">
            <a:solidFill>
              <a:schemeClr val="bg1"/>
            </a:solidFill>
            <a:latin typeface="Century Gothic" panose="020B0502020202020204" pitchFamily="34" charset="0"/>
          </a:endParaRPr>
        </a:p>
      </xdr:txBody>
    </xdr:sp>
    <xdr:clientData/>
  </xdr:twoCellAnchor>
  <xdr:twoCellAnchor>
    <xdr:from>
      <xdr:col>1</xdr:col>
      <xdr:colOff>267018</xdr:colOff>
      <xdr:row>78</xdr:row>
      <xdr:rowOff>85725</xdr:rowOff>
    </xdr:from>
    <xdr:to>
      <xdr:col>2</xdr:col>
      <xdr:colOff>228918</xdr:colOff>
      <xdr:row>80</xdr:row>
      <xdr:rowOff>85725</xdr:rowOff>
    </xdr:to>
    <xdr:sp macro="" textlink="'Marking Template'!D28">
      <xdr:nvSpPr>
        <xdr:cNvPr id="128" name="TextBox 127"/>
        <xdr:cNvSpPr txBox="1"/>
      </xdr:nvSpPr>
      <xdr:spPr>
        <a:xfrm>
          <a:off x="924243" y="9867900"/>
          <a:ext cx="79057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l"/>
          <a:fld id="{85EECAF0-276F-4B55-8C37-D6ADBABB6EA8}" type="TxLink">
            <a:rPr lang="en-US" sz="2000" b="1" i="0" u="none" strike="noStrike">
              <a:solidFill>
                <a:schemeClr val="bg1"/>
              </a:solidFill>
              <a:latin typeface="Century Gothic"/>
            </a:rPr>
            <a:pPr algn="l"/>
            <a:t>C-</a:t>
          </a:fld>
          <a:endParaRPr lang="en-GB" sz="2000" b="1">
            <a:solidFill>
              <a:schemeClr val="bg1"/>
            </a:solidFill>
            <a:latin typeface="Century Gothic" panose="020B0502020202020204" pitchFamily="34" charset="0"/>
          </a:endParaRPr>
        </a:p>
      </xdr:txBody>
    </xdr:sp>
    <xdr:clientData/>
  </xdr:twoCellAnchor>
  <xdr:twoCellAnchor>
    <xdr:from>
      <xdr:col>0</xdr:col>
      <xdr:colOff>209868</xdr:colOff>
      <xdr:row>76</xdr:row>
      <xdr:rowOff>47625</xdr:rowOff>
    </xdr:from>
    <xdr:to>
      <xdr:col>2</xdr:col>
      <xdr:colOff>247968</xdr:colOff>
      <xdr:row>78</xdr:row>
      <xdr:rowOff>47625</xdr:rowOff>
    </xdr:to>
    <xdr:sp macro="" textlink="">
      <xdr:nvSpPr>
        <xdr:cNvPr id="129" name="TextBox 128"/>
        <xdr:cNvSpPr txBox="1"/>
      </xdr:nvSpPr>
      <xdr:spPr>
        <a:xfrm>
          <a:off x="209868" y="9448800"/>
          <a:ext cx="1524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sz="1200" b="1" i="0" u="none" strike="noStrike">
              <a:solidFill>
                <a:schemeClr val="bg1"/>
              </a:solidFill>
              <a:latin typeface="Century Gothic" panose="020B0502020202020204" pitchFamily="34" charset="0"/>
            </a:rPr>
            <a:t>Project 1 Total</a:t>
          </a:r>
        </a:p>
      </xdr:txBody>
    </xdr:sp>
    <xdr:clientData/>
  </xdr:twoCellAnchor>
  <xdr:twoCellAnchor>
    <xdr:from>
      <xdr:col>0</xdr:col>
      <xdr:colOff>238444</xdr:colOff>
      <xdr:row>80</xdr:row>
      <xdr:rowOff>28575</xdr:rowOff>
    </xdr:from>
    <xdr:to>
      <xdr:col>2</xdr:col>
      <xdr:colOff>362268</xdr:colOff>
      <xdr:row>90</xdr:row>
      <xdr:rowOff>152400</xdr:rowOff>
    </xdr:to>
    <xdr:sp macro="" textlink="'Marking Template'!D29">
      <xdr:nvSpPr>
        <xdr:cNvPr id="130" name="TextBox 129"/>
        <xdr:cNvSpPr txBox="1"/>
      </xdr:nvSpPr>
      <xdr:spPr>
        <a:xfrm>
          <a:off x="238444" y="10191750"/>
          <a:ext cx="1609724" cy="3152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6B183DA-D9B2-467A-8B7B-C1ACC99A94CD}" type="TxLink">
            <a:rPr lang="en-US" sz="1200" b="1" i="0" u="none" strike="noStrike">
              <a:solidFill>
                <a:schemeClr val="bg1"/>
              </a:solidFill>
              <a:latin typeface="Century Gothic"/>
            </a:rPr>
            <a:pPr/>
            <a:t>Sound, but with a number of shortcomings. Demonstrates C grade qualities but contains less critical analysis and little or no originality.</a:t>
          </a:fld>
          <a:endParaRPr lang="en-GB" sz="1200" b="1">
            <a:solidFill>
              <a:schemeClr val="bg1"/>
            </a:solidFill>
          </a:endParaRPr>
        </a:p>
      </xdr:txBody>
    </xdr:sp>
    <xdr:clientData/>
  </xdr:twoCellAnchor>
  <xdr:twoCellAnchor>
    <xdr:from>
      <xdr:col>0</xdr:col>
      <xdr:colOff>114618</xdr:colOff>
      <xdr:row>100</xdr:row>
      <xdr:rowOff>114300</xdr:rowOff>
    </xdr:from>
    <xdr:to>
      <xdr:col>2</xdr:col>
      <xdr:colOff>152718</xdr:colOff>
      <xdr:row>102</xdr:row>
      <xdr:rowOff>114300</xdr:rowOff>
    </xdr:to>
    <xdr:sp macro="" textlink="">
      <xdr:nvSpPr>
        <xdr:cNvPr id="134" name="TextBox 133"/>
        <xdr:cNvSpPr txBox="1"/>
      </xdr:nvSpPr>
      <xdr:spPr>
        <a:xfrm>
          <a:off x="114618" y="15211425"/>
          <a:ext cx="1524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sz="1200" b="1" i="0" u="none" strike="noStrike">
              <a:solidFill>
                <a:schemeClr val="bg1"/>
              </a:solidFill>
              <a:latin typeface="Century Gothic" panose="020B0502020202020204" pitchFamily="34" charset="0"/>
            </a:rPr>
            <a:t>Project 2 Total</a:t>
          </a:r>
        </a:p>
      </xdr:txBody>
    </xdr:sp>
    <xdr:clientData/>
  </xdr:twoCellAnchor>
  <xdr:twoCellAnchor>
    <xdr:from>
      <xdr:col>0</xdr:col>
      <xdr:colOff>171450</xdr:colOff>
      <xdr:row>99</xdr:row>
      <xdr:rowOff>171450</xdr:rowOff>
    </xdr:from>
    <xdr:to>
      <xdr:col>2</xdr:col>
      <xdr:colOff>336232</xdr:colOff>
      <xdr:row>127</xdr:row>
      <xdr:rowOff>142875</xdr:rowOff>
    </xdr:to>
    <xdr:sp macro="" textlink="">
      <xdr:nvSpPr>
        <xdr:cNvPr id="142" name="Rectangle 141"/>
        <xdr:cNvSpPr/>
      </xdr:nvSpPr>
      <xdr:spPr>
        <a:xfrm>
          <a:off x="171450" y="15078075"/>
          <a:ext cx="1545907" cy="5305425"/>
        </a:xfrm>
        <a:prstGeom prst="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b="1"/>
        </a:p>
      </xdr:txBody>
    </xdr:sp>
    <xdr:clientData/>
  </xdr:twoCellAnchor>
  <xdr:twoCellAnchor>
    <xdr:from>
      <xdr:col>2</xdr:col>
      <xdr:colOff>437832</xdr:colOff>
      <xdr:row>99</xdr:row>
      <xdr:rowOff>161925</xdr:rowOff>
    </xdr:from>
    <xdr:to>
      <xdr:col>13</xdr:col>
      <xdr:colOff>285432</xdr:colOff>
      <xdr:row>127</xdr:row>
      <xdr:rowOff>123825</xdr:rowOff>
    </xdr:to>
    <xdr:graphicFrame macro="">
      <xdr:nvGraphicFramePr>
        <xdr:cNvPr id="143" name="Chart 1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361950</xdr:colOff>
      <xdr:row>102</xdr:row>
      <xdr:rowOff>95250</xdr:rowOff>
    </xdr:from>
    <xdr:to>
      <xdr:col>1</xdr:col>
      <xdr:colOff>447675</xdr:colOff>
      <xdr:row>104</xdr:row>
      <xdr:rowOff>95250</xdr:rowOff>
    </xdr:to>
    <xdr:sp macro="" textlink="'Marking Template'!C59">
      <xdr:nvSpPr>
        <xdr:cNvPr id="144" name="TextBox 143"/>
        <xdr:cNvSpPr txBox="1"/>
      </xdr:nvSpPr>
      <xdr:spPr>
        <a:xfrm>
          <a:off x="361950" y="15573375"/>
          <a:ext cx="69532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fld id="{CA6481FD-0CFE-4F55-80F9-4B3744FCC0FD}" type="TxLink">
            <a:rPr lang="en-US" sz="2000" b="1" i="0" u="none" strike="noStrike">
              <a:solidFill>
                <a:schemeClr val="bg1"/>
              </a:solidFill>
              <a:latin typeface="Century Gothic" panose="020B0502020202020204" pitchFamily="34" charset="0"/>
              <a:cs typeface="Calibri"/>
            </a:rPr>
            <a:pPr algn="ctr"/>
            <a:t>50</a:t>
          </a:fld>
          <a:endParaRPr lang="en-GB" sz="2000" b="1">
            <a:solidFill>
              <a:schemeClr val="bg1"/>
            </a:solidFill>
            <a:latin typeface="Century Gothic" panose="020B0502020202020204" pitchFamily="34" charset="0"/>
          </a:endParaRPr>
        </a:p>
      </xdr:txBody>
    </xdr:sp>
    <xdr:clientData/>
  </xdr:twoCellAnchor>
  <xdr:twoCellAnchor>
    <xdr:from>
      <xdr:col>1</xdr:col>
      <xdr:colOff>285750</xdr:colOff>
      <xdr:row>102</xdr:row>
      <xdr:rowOff>85725</xdr:rowOff>
    </xdr:from>
    <xdr:to>
      <xdr:col>2</xdr:col>
      <xdr:colOff>247650</xdr:colOff>
      <xdr:row>104</xdr:row>
      <xdr:rowOff>85725</xdr:rowOff>
    </xdr:to>
    <xdr:sp macro="" textlink="'Marking Template'!D59">
      <xdr:nvSpPr>
        <xdr:cNvPr id="145" name="TextBox 144"/>
        <xdr:cNvSpPr txBox="1"/>
      </xdr:nvSpPr>
      <xdr:spPr>
        <a:xfrm>
          <a:off x="895350" y="15563850"/>
          <a:ext cx="73342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l"/>
          <a:fld id="{D7230E4D-1A93-4355-983B-D944835714D2}" type="TxLink">
            <a:rPr lang="en-US" sz="2000" b="1" i="0" u="none" strike="noStrike">
              <a:solidFill>
                <a:schemeClr val="bg1"/>
              </a:solidFill>
              <a:latin typeface="Century Gothic" panose="020B0502020202020204" pitchFamily="34" charset="0"/>
            </a:rPr>
            <a:pPr algn="l"/>
            <a:t>C-</a:t>
          </a:fld>
          <a:endParaRPr lang="en-GB" sz="2000" b="1">
            <a:solidFill>
              <a:schemeClr val="bg1"/>
            </a:solidFill>
            <a:latin typeface="Century Gothic" panose="020B0502020202020204" pitchFamily="34" charset="0"/>
          </a:endParaRPr>
        </a:p>
      </xdr:txBody>
    </xdr:sp>
    <xdr:clientData/>
  </xdr:twoCellAnchor>
  <xdr:twoCellAnchor>
    <xdr:from>
      <xdr:col>0</xdr:col>
      <xdr:colOff>114300</xdr:colOff>
      <xdr:row>100</xdr:row>
      <xdr:rowOff>47625</xdr:rowOff>
    </xdr:from>
    <xdr:to>
      <xdr:col>2</xdr:col>
      <xdr:colOff>352425</xdr:colOff>
      <xdr:row>102</xdr:row>
      <xdr:rowOff>47625</xdr:rowOff>
    </xdr:to>
    <xdr:sp macro="" textlink="">
      <xdr:nvSpPr>
        <xdr:cNvPr id="146" name="TextBox 145"/>
        <xdr:cNvSpPr txBox="1"/>
      </xdr:nvSpPr>
      <xdr:spPr>
        <a:xfrm>
          <a:off x="114300" y="15144750"/>
          <a:ext cx="16192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sz="1200" b="1" i="0" u="none" strike="noStrike">
              <a:solidFill>
                <a:schemeClr val="bg1"/>
              </a:solidFill>
              <a:latin typeface="Century Gothic" panose="020B0502020202020204" pitchFamily="34" charset="0"/>
            </a:rPr>
            <a:t>Project 2 Total</a:t>
          </a:r>
        </a:p>
      </xdr:txBody>
    </xdr:sp>
    <xdr:clientData/>
  </xdr:twoCellAnchor>
  <xdr:twoCellAnchor>
    <xdr:from>
      <xdr:col>0</xdr:col>
      <xdr:colOff>257176</xdr:colOff>
      <xdr:row>104</xdr:row>
      <xdr:rowOff>28575</xdr:rowOff>
    </xdr:from>
    <xdr:to>
      <xdr:col>2</xdr:col>
      <xdr:colOff>381000</xdr:colOff>
      <xdr:row>120</xdr:row>
      <xdr:rowOff>133350</xdr:rowOff>
    </xdr:to>
    <xdr:sp macro="" textlink="'Marking Template'!D60">
      <xdr:nvSpPr>
        <xdr:cNvPr id="147" name="TextBox 146"/>
        <xdr:cNvSpPr txBox="1"/>
      </xdr:nvSpPr>
      <xdr:spPr>
        <a:xfrm>
          <a:off x="257176" y="15887700"/>
          <a:ext cx="1504949" cy="3152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E4F9FB5-8047-486F-93F8-C06A7A462054}" type="TxLink">
            <a:rPr lang="en-US" sz="1200" b="1" i="0" u="none" strike="noStrike">
              <a:solidFill>
                <a:schemeClr val="bg1"/>
              </a:solidFill>
              <a:latin typeface="Century Gothic"/>
            </a:rPr>
            <a:pPr/>
            <a:t>Sound, but with a number of shortcomings. Demonstrates C grade qualities but contains less critical analysis and little or no originality.</a:t>
          </a:fld>
          <a:endParaRPr lang="en-GB" sz="12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3</xdr:col>
          <xdr:colOff>104775</xdr:colOff>
          <xdr:row>10</xdr:row>
          <xdr:rowOff>161925</xdr:rowOff>
        </xdr:from>
        <xdr:to>
          <xdr:col>3</xdr:col>
          <xdr:colOff>342900</xdr:colOff>
          <xdr:row>23</xdr:row>
          <xdr:rowOff>57150</xdr:rowOff>
        </xdr:to>
        <xdr:sp macro="" textlink="">
          <xdr:nvSpPr>
            <xdr:cNvPr id="131073" name="ScrollBar1" hidden="1">
              <a:extLst>
                <a:ext uri="{63B3BB69-23CF-44E3-9099-C40C66FF867C}">
                  <a14:compatExt spid="_x0000_s13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257175</xdr:colOff>
          <xdr:row>10</xdr:row>
          <xdr:rowOff>161925</xdr:rowOff>
        </xdr:from>
        <xdr:to>
          <xdr:col>5</xdr:col>
          <xdr:colOff>495300</xdr:colOff>
          <xdr:row>23</xdr:row>
          <xdr:rowOff>57150</xdr:rowOff>
        </xdr:to>
        <xdr:sp macro="" textlink="">
          <xdr:nvSpPr>
            <xdr:cNvPr id="131074" name="ScrollBar3" hidden="1">
              <a:extLst>
                <a:ext uri="{63B3BB69-23CF-44E3-9099-C40C66FF867C}">
                  <a14:compatExt spid="_x0000_s13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390525</xdr:colOff>
          <xdr:row>10</xdr:row>
          <xdr:rowOff>161925</xdr:rowOff>
        </xdr:from>
        <xdr:to>
          <xdr:col>7</xdr:col>
          <xdr:colOff>628650</xdr:colOff>
          <xdr:row>23</xdr:row>
          <xdr:rowOff>57150</xdr:rowOff>
        </xdr:to>
        <xdr:sp macro="" textlink="">
          <xdr:nvSpPr>
            <xdr:cNvPr id="131075" name="ScrollBar4" hidden="1">
              <a:extLst>
                <a:ext uri="{63B3BB69-23CF-44E3-9099-C40C66FF867C}">
                  <a14:compatExt spid="_x0000_s131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561975</xdr:colOff>
          <xdr:row>10</xdr:row>
          <xdr:rowOff>161925</xdr:rowOff>
        </xdr:from>
        <xdr:to>
          <xdr:col>10</xdr:col>
          <xdr:colOff>152400</xdr:colOff>
          <xdr:row>23</xdr:row>
          <xdr:rowOff>57150</xdr:rowOff>
        </xdr:to>
        <xdr:sp macro="" textlink="">
          <xdr:nvSpPr>
            <xdr:cNvPr id="131076" name="ScrollBar5" hidden="1">
              <a:extLst>
                <a:ext uri="{63B3BB69-23CF-44E3-9099-C40C66FF867C}">
                  <a14:compatExt spid="_x0000_s131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10</xdr:row>
          <xdr:rowOff>171450</xdr:rowOff>
        </xdr:from>
        <xdr:to>
          <xdr:col>12</xdr:col>
          <xdr:colOff>342900</xdr:colOff>
          <xdr:row>23</xdr:row>
          <xdr:rowOff>66675</xdr:rowOff>
        </xdr:to>
        <xdr:sp macro="" textlink="">
          <xdr:nvSpPr>
            <xdr:cNvPr id="131077" name="ScrollBar7" hidden="1">
              <a:extLst>
                <a:ext uri="{63B3BB69-23CF-44E3-9099-C40C66FF867C}">
                  <a14:compatExt spid="_x0000_s13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48</xdr:row>
          <xdr:rowOff>0</xdr:rowOff>
        </xdr:from>
        <xdr:to>
          <xdr:col>3</xdr:col>
          <xdr:colOff>352425</xdr:colOff>
          <xdr:row>73</xdr:row>
          <xdr:rowOff>76200</xdr:rowOff>
        </xdr:to>
        <xdr:sp macro="" textlink="">
          <xdr:nvSpPr>
            <xdr:cNvPr id="131078" name="ScrollBar2" hidden="1">
              <a:extLst>
                <a:ext uri="{63B3BB69-23CF-44E3-9099-C40C66FF867C}">
                  <a14:compatExt spid="_x0000_s131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48</xdr:row>
          <xdr:rowOff>0</xdr:rowOff>
        </xdr:from>
        <xdr:to>
          <xdr:col>5</xdr:col>
          <xdr:colOff>504825</xdr:colOff>
          <xdr:row>73</xdr:row>
          <xdr:rowOff>76200</xdr:rowOff>
        </xdr:to>
        <xdr:sp macro="" textlink="">
          <xdr:nvSpPr>
            <xdr:cNvPr id="131079" name="ScrollBar6" hidden="1">
              <a:extLst>
                <a:ext uri="{63B3BB69-23CF-44E3-9099-C40C66FF867C}">
                  <a14:compatExt spid="_x0000_s13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400050</xdr:colOff>
          <xdr:row>48</xdr:row>
          <xdr:rowOff>0</xdr:rowOff>
        </xdr:from>
        <xdr:to>
          <xdr:col>7</xdr:col>
          <xdr:colOff>638175</xdr:colOff>
          <xdr:row>73</xdr:row>
          <xdr:rowOff>76200</xdr:rowOff>
        </xdr:to>
        <xdr:sp macro="" textlink="">
          <xdr:nvSpPr>
            <xdr:cNvPr id="131080" name="ScrollBar8" hidden="1">
              <a:extLst>
                <a:ext uri="{63B3BB69-23CF-44E3-9099-C40C66FF867C}">
                  <a14:compatExt spid="_x0000_s131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571500</xdr:colOff>
          <xdr:row>48</xdr:row>
          <xdr:rowOff>0</xdr:rowOff>
        </xdr:from>
        <xdr:to>
          <xdr:col>10</xdr:col>
          <xdr:colOff>161925</xdr:colOff>
          <xdr:row>73</xdr:row>
          <xdr:rowOff>76200</xdr:rowOff>
        </xdr:to>
        <xdr:sp macro="" textlink="">
          <xdr:nvSpPr>
            <xdr:cNvPr id="131081" name="ScrollBar9" hidden="1">
              <a:extLst>
                <a:ext uri="{63B3BB69-23CF-44E3-9099-C40C66FF867C}">
                  <a14:compatExt spid="_x0000_s131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48</xdr:row>
          <xdr:rowOff>0</xdr:rowOff>
        </xdr:from>
        <xdr:to>
          <xdr:col>12</xdr:col>
          <xdr:colOff>352425</xdr:colOff>
          <xdr:row>73</xdr:row>
          <xdr:rowOff>76200</xdr:rowOff>
        </xdr:to>
        <xdr:sp macro="" textlink="">
          <xdr:nvSpPr>
            <xdr:cNvPr id="131082" name="ScrollBar10" hidden="1">
              <a:extLst>
                <a:ext uri="{63B3BB69-23CF-44E3-9099-C40C66FF867C}">
                  <a14:compatExt spid="_x0000_s13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0.12843</cdr:x>
      <cdr:y>0.27653</cdr:y>
    </cdr:from>
    <cdr:to>
      <cdr:x>0.27057</cdr:x>
      <cdr:y>0.36588</cdr:y>
    </cdr:to>
    <cdr:grpSp>
      <cdr:nvGrpSpPr>
        <cdr:cNvPr id="32" name="Group 31"/>
        <cdr:cNvGrpSpPr/>
      </cdr:nvGrpSpPr>
      <cdr:grpSpPr>
        <a:xfrm xmlns:a="http://schemas.openxmlformats.org/drawingml/2006/main">
          <a:off x="851627" y="1510398"/>
          <a:ext cx="942538" cy="488026"/>
          <a:chOff x="988478" y="1356052"/>
          <a:chExt cx="1012769" cy="468945"/>
        </a:xfrm>
      </cdr:grpSpPr>
      <cdr:sp macro="" textlink="'Marking Template'!$D$38">
        <cdr:nvSpPr>
          <cdr:cNvPr id="15" name="TextBox 90"/>
          <cdr:cNvSpPr txBox="1"/>
        </cdr:nvSpPr>
        <cdr:spPr>
          <a:xfrm xmlns:a="http://schemas.openxmlformats.org/drawingml/2006/main">
            <a:off x="1541468" y="1356052"/>
            <a:ext cx="459779" cy="468945"/>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nchorCtr="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l"/>
            <a:fld id="{AD2767BD-DFB8-4946-B7C1-E64533E6DA0B}" type="TxLink">
              <a:rPr lang="en-US" sz="1100" b="0" i="0" u="none" strike="noStrike">
                <a:solidFill>
                  <a:srgbClr val="000000"/>
                </a:solidFill>
                <a:latin typeface="Century Gothic"/>
              </a:rPr>
              <a:pPr algn="l"/>
              <a:t>C-</a:t>
            </a:fld>
            <a:endParaRPr lang="en-GB" sz="1050" b="1">
              <a:solidFill>
                <a:sysClr val="windowText" lastClr="000000"/>
              </a:solidFill>
              <a:latin typeface="Century Gothic" panose="020B0502020202020204" pitchFamily="34" charset="0"/>
            </a:endParaRPr>
          </a:p>
        </cdr:txBody>
      </cdr:sp>
      <cdr:sp macro="" textlink="">
        <cdr:nvSpPr>
          <cdr:cNvPr id="27" name="TextBox 26"/>
          <cdr:cNvSpPr txBox="1"/>
        </cdr:nvSpPr>
        <cdr:spPr>
          <a:xfrm xmlns:a="http://schemas.openxmlformats.org/drawingml/2006/main">
            <a:off x="988478" y="1457174"/>
            <a:ext cx="668872"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1100" b="0">
                <a:latin typeface="Century Gothic" pitchFamily="34" charset="0"/>
              </a:rPr>
              <a:t>PRIDE</a:t>
            </a:r>
          </a:p>
        </cdr:txBody>
      </cdr:sp>
    </cdr:grpSp>
  </cdr:relSizeAnchor>
  <cdr:relSizeAnchor xmlns:cdr="http://schemas.openxmlformats.org/drawingml/2006/chartDrawing">
    <cdr:from>
      <cdr:x>0.73082</cdr:x>
      <cdr:y>0.28057</cdr:y>
    </cdr:from>
    <cdr:to>
      <cdr:x>0.93904</cdr:x>
      <cdr:y>0.33684</cdr:y>
    </cdr:to>
    <cdr:grpSp>
      <cdr:nvGrpSpPr>
        <cdr:cNvPr id="40" name="Group 39"/>
        <cdr:cNvGrpSpPr/>
      </cdr:nvGrpSpPr>
      <cdr:grpSpPr>
        <a:xfrm xmlns:a="http://schemas.openxmlformats.org/drawingml/2006/main">
          <a:off x="4846108" y="1532464"/>
          <a:ext cx="1380719" cy="307345"/>
          <a:chOff x="4955450" y="1538137"/>
          <a:chExt cx="1483451" cy="295275"/>
        </a:xfrm>
      </cdr:grpSpPr>
      <cdr:sp macro="" textlink="'Marking Template'!$D$32">
        <cdr:nvSpPr>
          <cdr:cNvPr id="12" name="TextBox 90"/>
          <cdr:cNvSpPr txBox="1"/>
        </cdr:nvSpPr>
        <cdr:spPr>
          <a:xfrm xmlns:a="http://schemas.openxmlformats.org/drawingml/2006/main">
            <a:off x="5951377" y="1538137"/>
            <a:ext cx="487524" cy="295275"/>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nchorCtr="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l"/>
            <a:fld id="{BF1F62DC-4937-46EA-B9D1-D3ECD9772B69}" type="TxLink">
              <a:rPr lang="en-US" sz="1100" b="0" i="0" u="none" strike="noStrike">
                <a:solidFill>
                  <a:srgbClr val="000000"/>
                </a:solidFill>
                <a:latin typeface="Century Gothic"/>
              </a:rPr>
              <a:pPr algn="l"/>
              <a:t>C-</a:t>
            </a:fld>
            <a:endParaRPr lang="en-GB" sz="1050" b="1">
              <a:solidFill>
                <a:sysClr val="windowText" lastClr="000000"/>
              </a:solidFill>
              <a:latin typeface="Century Gothic" panose="020B0502020202020204" pitchFamily="34" charset="0"/>
            </a:endParaRPr>
          </a:p>
        </cdr:txBody>
      </cdr:sp>
      <cdr:sp macro="" textlink="">
        <cdr:nvSpPr>
          <cdr:cNvPr id="28" name="TextBox 1"/>
          <cdr:cNvSpPr txBox="1"/>
        </cdr:nvSpPr>
        <cdr:spPr>
          <a:xfrm xmlns:a="http://schemas.openxmlformats.org/drawingml/2006/main">
            <a:off x="4955450" y="1552424"/>
            <a:ext cx="1124956" cy="2667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50" b="0">
                <a:latin typeface="Century Gothic" pitchFamily="34" charset="0"/>
              </a:rPr>
              <a:t>INITIAL IDEAS</a:t>
            </a:r>
          </a:p>
        </cdr:txBody>
      </cdr:sp>
    </cdr:grpSp>
  </cdr:relSizeAnchor>
  <cdr:relSizeAnchor xmlns:cdr="http://schemas.openxmlformats.org/drawingml/2006/chartDrawing">
    <cdr:from>
      <cdr:x>0.54915</cdr:x>
      <cdr:y>0.03226</cdr:y>
    </cdr:from>
    <cdr:to>
      <cdr:x>0.61532</cdr:x>
      <cdr:y>0.08308</cdr:y>
    </cdr:to>
    <cdr:sp macro="" textlink="'Marking Template'!$D$30">
      <cdr:nvSpPr>
        <cdr:cNvPr id="11" name="TextBox 90"/>
        <cdr:cNvSpPr txBox="1"/>
      </cdr:nvSpPr>
      <cdr:spPr>
        <a:xfrm xmlns:a="http://schemas.openxmlformats.org/drawingml/2006/main">
          <a:off x="3912495" y="171451"/>
          <a:ext cx="471441" cy="270105"/>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nchorCtr="0"/>
        <a:lstStyle xmlns:a="http://schemas.openxmlformats.org/drawingml/2006/main"/>
        <a:p xmlns:a="http://schemas.openxmlformats.org/drawingml/2006/main">
          <a:pPr algn="l"/>
          <a:fld id="{AFDC940A-9F67-42E5-BD94-D0DFBE9CE019}" type="TxLink">
            <a:rPr lang="en-US" sz="1100" b="1" i="0" u="none" strike="noStrike">
              <a:solidFill>
                <a:srgbClr val="000000"/>
              </a:solidFill>
              <a:latin typeface="Century Gothic"/>
            </a:rPr>
            <a:pPr algn="l"/>
            <a:t>C-</a:t>
          </a:fld>
          <a:endParaRPr lang="en-US" sz="1050" b="1" i="0" u="none" strike="noStrike">
            <a:solidFill>
              <a:srgbClr val="000000"/>
            </a:solidFill>
            <a:latin typeface="Century Gothic"/>
          </a:endParaRPr>
        </a:p>
      </cdr:txBody>
    </cdr:sp>
  </cdr:relSizeAnchor>
  <cdr:relSizeAnchor xmlns:cdr="http://schemas.openxmlformats.org/drawingml/2006/chartDrawing">
    <cdr:from>
      <cdr:x>0.41619</cdr:x>
      <cdr:y>0.03408</cdr:y>
    </cdr:from>
    <cdr:to>
      <cdr:x>0.57058</cdr:x>
      <cdr:y>0.0849</cdr:y>
    </cdr:to>
    <cdr:sp macro="" textlink="">
      <cdr:nvSpPr>
        <cdr:cNvPr id="29" name="TextBox 1"/>
        <cdr:cNvSpPr txBox="1"/>
      </cdr:nvSpPr>
      <cdr:spPr>
        <a:xfrm xmlns:a="http://schemas.openxmlformats.org/drawingml/2006/main">
          <a:off x="2965195" y="181123"/>
          <a:ext cx="1099982" cy="27010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50" b="0">
              <a:latin typeface="Century Gothic" pitchFamily="34" charset="0"/>
            </a:rPr>
            <a:t>RESEARCH</a:t>
          </a:r>
        </a:p>
      </cdr:txBody>
    </cdr:sp>
  </cdr:relSizeAnchor>
  <cdr:relSizeAnchor xmlns:cdr="http://schemas.openxmlformats.org/drawingml/2006/chartDrawing">
    <cdr:from>
      <cdr:x>0.22059</cdr:x>
      <cdr:y>0.91629</cdr:y>
    </cdr:from>
    <cdr:to>
      <cdr:x>0.44635</cdr:x>
      <cdr:y>0.97312</cdr:y>
    </cdr:to>
    <cdr:grpSp>
      <cdr:nvGrpSpPr>
        <cdr:cNvPr id="38" name="Group 37"/>
        <cdr:cNvGrpSpPr/>
      </cdr:nvGrpSpPr>
      <cdr:grpSpPr>
        <a:xfrm xmlns:a="http://schemas.openxmlformats.org/drawingml/2006/main">
          <a:off x="1462745" y="5004746"/>
          <a:ext cx="1497027" cy="310403"/>
          <a:chOff x="1562742" y="4935518"/>
          <a:chExt cx="1608421" cy="298229"/>
        </a:xfrm>
      </cdr:grpSpPr>
      <cdr:sp macro="" textlink="'Marking Template'!$D$36">
        <cdr:nvSpPr>
          <cdr:cNvPr id="14" name="TextBox 90"/>
          <cdr:cNvSpPr txBox="1"/>
        </cdr:nvSpPr>
        <cdr:spPr>
          <a:xfrm xmlns:a="http://schemas.openxmlformats.org/drawingml/2006/main">
            <a:off x="2658437" y="4935518"/>
            <a:ext cx="512726" cy="298229"/>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nchorCtr="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l"/>
            <a:fld id="{0B8320B5-D8F2-4B8A-9DCB-F178DAA1A4AF}" type="TxLink">
              <a:rPr lang="en-US" sz="1100" b="0" i="0" u="none" strike="noStrike">
                <a:solidFill>
                  <a:srgbClr val="000000"/>
                </a:solidFill>
                <a:latin typeface="Century Gothic"/>
              </a:rPr>
              <a:pPr algn="l"/>
              <a:t>C-</a:t>
            </a:fld>
            <a:endParaRPr lang="en-GB" sz="1050" b="1">
              <a:solidFill>
                <a:sysClr val="windowText" lastClr="000000"/>
              </a:solidFill>
              <a:latin typeface="Century Gothic" panose="020B0502020202020204" pitchFamily="34" charset="0"/>
            </a:endParaRPr>
          </a:p>
        </cdr:txBody>
      </cdr:sp>
      <cdr:sp macro="" textlink="">
        <cdr:nvSpPr>
          <cdr:cNvPr id="30" name="TextBox 1"/>
          <cdr:cNvSpPr txBox="1"/>
        </cdr:nvSpPr>
        <cdr:spPr>
          <a:xfrm xmlns:a="http://schemas.openxmlformats.org/drawingml/2006/main">
            <a:off x="1562742" y="4959240"/>
            <a:ext cx="1251981" cy="2667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50" b="0">
                <a:latin typeface="Century Gothic" pitchFamily="34" charset="0"/>
              </a:rPr>
              <a:t>PRESENTATION</a:t>
            </a:r>
          </a:p>
        </cdr:txBody>
      </cdr:sp>
    </cdr:grpSp>
  </cdr:relSizeAnchor>
  <cdr:relSizeAnchor xmlns:cdr="http://schemas.openxmlformats.org/drawingml/2006/chartDrawing">
    <cdr:from>
      <cdr:x>0.62439</cdr:x>
      <cdr:y>0.91674</cdr:y>
    </cdr:from>
    <cdr:to>
      <cdr:x>0.85664</cdr:x>
      <cdr:y>0.97119</cdr:y>
    </cdr:to>
    <cdr:grpSp>
      <cdr:nvGrpSpPr>
        <cdr:cNvPr id="39" name="Group 38"/>
        <cdr:cNvGrpSpPr/>
      </cdr:nvGrpSpPr>
      <cdr:grpSpPr>
        <a:xfrm xmlns:a="http://schemas.openxmlformats.org/drawingml/2006/main">
          <a:off x="4140365" y="5007204"/>
          <a:ext cx="1540063" cy="297404"/>
          <a:chOff x="4163792" y="4922552"/>
          <a:chExt cx="1654732" cy="285816"/>
        </a:xfrm>
      </cdr:grpSpPr>
      <cdr:sp macro="" textlink="'Marking Template'!$D$34">
        <cdr:nvSpPr>
          <cdr:cNvPr id="13" name="TextBox 90"/>
          <cdr:cNvSpPr txBox="1"/>
        </cdr:nvSpPr>
        <cdr:spPr>
          <a:xfrm xmlns:a="http://schemas.openxmlformats.org/drawingml/2006/main">
            <a:off x="5326893" y="4922552"/>
            <a:ext cx="491631" cy="257174"/>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nchorCtr="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l"/>
            <a:fld id="{F4C6618B-AD84-45A9-8B6B-FEDF3813A543}" type="TxLink">
              <a:rPr lang="en-US" sz="1100" b="0" i="0" u="none" strike="noStrike">
                <a:solidFill>
                  <a:srgbClr val="000000"/>
                </a:solidFill>
                <a:latin typeface="Century Gothic"/>
              </a:rPr>
              <a:pPr algn="l"/>
              <a:t>C-</a:t>
            </a:fld>
            <a:endParaRPr lang="en-GB" sz="1050" b="1">
              <a:solidFill>
                <a:sysClr val="windowText" lastClr="000000"/>
              </a:solidFill>
              <a:latin typeface="Century Gothic" panose="020B0502020202020204" pitchFamily="34" charset="0"/>
            </a:endParaRPr>
          </a:p>
        </cdr:txBody>
      </cdr:sp>
      <cdr:sp macro="" textlink="">
        <cdr:nvSpPr>
          <cdr:cNvPr id="31" name="TextBox 1"/>
          <cdr:cNvSpPr txBox="1"/>
        </cdr:nvSpPr>
        <cdr:spPr>
          <a:xfrm xmlns:a="http://schemas.openxmlformats.org/drawingml/2006/main">
            <a:off x="4163792" y="4941668"/>
            <a:ext cx="1251634" cy="2667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50" b="0">
                <a:latin typeface="Century Gothic" pitchFamily="34" charset="0"/>
              </a:rPr>
              <a:t>DEVELOPMENT</a:t>
            </a:r>
          </a:p>
        </cdr:txBody>
      </cdr:sp>
    </cdr:grpSp>
  </cdr:relSizeAnchor>
  <cdr:relSizeAnchor xmlns:cdr="http://schemas.openxmlformats.org/drawingml/2006/chartDrawing">
    <cdr:from>
      <cdr:x>0.467</cdr:x>
      <cdr:y>0.07513</cdr:y>
    </cdr:from>
    <cdr:to>
      <cdr:x>0.57088</cdr:x>
      <cdr:y>0.20578</cdr:y>
    </cdr:to>
    <cdr:pic>
      <cdr:nvPicPr>
        <cdr:cNvPr id="33"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3096703" y="410335"/>
          <a:ext cx="688834" cy="713606"/>
        </a:xfrm>
        <a:prstGeom xmlns:a="http://schemas.openxmlformats.org/drawingml/2006/main" prst="rect">
          <a:avLst/>
        </a:prstGeom>
      </cdr:spPr>
    </cdr:pic>
  </cdr:relSizeAnchor>
  <cdr:relSizeAnchor xmlns:cdr="http://schemas.openxmlformats.org/drawingml/2006/chartDrawing">
    <cdr:from>
      <cdr:x>0.77489</cdr:x>
      <cdr:y>0.3539</cdr:y>
    </cdr:from>
    <cdr:to>
      <cdr:x>0.87877</cdr:x>
      <cdr:y>0.48456</cdr:y>
    </cdr:to>
    <cdr:pic>
      <cdr:nvPicPr>
        <cdr:cNvPr id="34" name="chart"/>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5114925" y="1857375"/>
          <a:ext cx="685714" cy="685714"/>
        </a:xfrm>
        <a:prstGeom xmlns:a="http://schemas.openxmlformats.org/drawingml/2006/main" prst="rect">
          <a:avLst/>
        </a:prstGeom>
      </cdr:spPr>
    </cdr:pic>
  </cdr:relSizeAnchor>
  <cdr:relSizeAnchor xmlns:cdr="http://schemas.openxmlformats.org/drawingml/2006/chartDrawing">
    <cdr:from>
      <cdr:x>0.66916</cdr:x>
      <cdr:y>0.77348</cdr:y>
    </cdr:from>
    <cdr:to>
      <cdr:x>0.77305</cdr:x>
      <cdr:y>0.90414</cdr:y>
    </cdr:to>
    <cdr:pic>
      <cdr:nvPicPr>
        <cdr:cNvPr id="35" name="chart"/>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4437225" y="4224730"/>
          <a:ext cx="688900" cy="713660"/>
        </a:xfrm>
        <a:prstGeom xmlns:a="http://schemas.openxmlformats.org/drawingml/2006/main" prst="rect">
          <a:avLst/>
        </a:prstGeom>
      </cdr:spPr>
    </cdr:pic>
  </cdr:relSizeAnchor>
  <cdr:relSizeAnchor xmlns:cdr="http://schemas.openxmlformats.org/drawingml/2006/chartDrawing">
    <cdr:from>
      <cdr:x>0.26638</cdr:x>
      <cdr:y>0.77704</cdr:y>
    </cdr:from>
    <cdr:to>
      <cdr:x>0.37026</cdr:x>
      <cdr:y>0.90769</cdr:y>
    </cdr:to>
    <cdr:pic>
      <cdr:nvPicPr>
        <cdr:cNvPr id="36" name="chart"/>
        <cdr:cNvPicPr>
          <a:picLocks xmlns:a="http://schemas.openxmlformats.org/drawingml/2006/main" noChangeAspect="1"/>
        </cdr:cNvPicPr>
      </cdr:nvPicPr>
      <cdr:blipFill>
        <a:blip xmlns:a="http://schemas.openxmlformats.org/drawingml/2006/main" xmlns:r="http://schemas.openxmlformats.org/officeDocument/2006/relationships" r:embed="rId4"/>
        <a:stretch xmlns:a="http://schemas.openxmlformats.org/drawingml/2006/main">
          <a:fillRect/>
        </a:stretch>
      </cdr:blipFill>
      <cdr:spPr>
        <a:xfrm xmlns:a="http://schemas.openxmlformats.org/drawingml/2006/main">
          <a:off x="1766362" y="4244193"/>
          <a:ext cx="688834" cy="713606"/>
        </a:xfrm>
        <a:prstGeom xmlns:a="http://schemas.openxmlformats.org/drawingml/2006/main" prst="rect">
          <a:avLst/>
        </a:prstGeom>
      </cdr:spPr>
    </cdr:pic>
  </cdr:relSizeAnchor>
  <cdr:relSizeAnchor xmlns:cdr="http://schemas.openxmlformats.org/drawingml/2006/chartDrawing">
    <cdr:from>
      <cdr:x>0.15296</cdr:x>
      <cdr:y>0.35209</cdr:y>
    </cdr:from>
    <cdr:to>
      <cdr:x>0.25684</cdr:x>
      <cdr:y>0.48274</cdr:y>
    </cdr:to>
    <cdr:pic>
      <cdr:nvPicPr>
        <cdr:cNvPr id="41" name="chart"/>
        <cdr:cNvPicPr>
          <a:picLocks xmlns:a="http://schemas.openxmlformats.org/drawingml/2006/main" noChangeAspect="1"/>
        </cdr:cNvPicPr>
      </cdr:nvPicPr>
      <cdr:blipFill>
        <a:blip xmlns:a="http://schemas.openxmlformats.org/drawingml/2006/main" xmlns:r="http://schemas.openxmlformats.org/officeDocument/2006/relationships" r:embed="rId5"/>
        <a:stretch xmlns:a="http://schemas.openxmlformats.org/drawingml/2006/main">
          <a:fillRect/>
        </a:stretch>
      </cdr:blipFill>
      <cdr:spPr>
        <a:xfrm xmlns:a="http://schemas.openxmlformats.org/drawingml/2006/main">
          <a:off x="1009650" y="1847850"/>
          <a:ext cx="685714" cy="685714"/>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0.12843</cdr:x>
      <cdr:y>0.27653</cdr:y>
    </cdr:from>
    <cdr:to>
      <cdr:x>0.27057</cdr:x>
      <cdr:y>0.36588</cdr:y>
    </cdr:to>
    <cdr:grpSp>
      <cdr:nvGrpSpPr>
        <cdr:cNvPr id="32" name="Group 31"/>
        <cdr:cNvGrpSpPr/>
      </cdr:nvGrpSpPr>
      <cdr:grpSpPr>
        <a:xfrm xmlns:a="http://schemas.openxmlformats.org/drawingml/2006/main">
          <a:off x="851627" y="1464475"/>
          <a:ext cx="942538" cy="473189"/>
          <a:chOff x="988478" y="1356052"/>
          <a:chExt cx="1012769" cy="468945"/>
        </a:xfrm>
      </cdr:grpSpPr>
      <cdr:sp macro="" textlink="'Marking Template'!$D$69">
        <cdr:nvSpPr>
          <cdr:cNvPr id="15" name="TextBox 90"/>
          <cdr:cNvSpPr txBox="1"/>
        </cdr:nvSpPr>
        <cdr:spPr>
          <a:xfrm xmlns:a="http://schemas.openxmlformats.org/drawingml/2006/main">
            <a:off x="1541468" y="1356052"/>
            <a:ext cx="459779" cy="468945"/>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nchorCtr="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l"/>
            <a:fld id="{7CACD872-5BDE-4891-B04C-D6DE50E791AC}" type="TxLink">
              <a:rPr lang="en-US" sz="1100" b="0" i="0" u="none" strike="noStrike">
                <a:solidFill>
                  <a:srgbClr val="000000"/>
                </a:solidFill>
                <a:latin typeface="Century Gothic"/>
              </a:rPr>
              <a:pPr algn="l"/>
              <a:t>C-</a:t>
            </a:fld>
            <a:endParaRPr lang="en-GB" sz="1050" b="1">
              <a:solidFill>
                <a:sysClr val="windowText" lastClr="000000"/>
              </a:solidFill>
              <a:latin typeface="Century Gothic" panose="020B0502020202020204" pitchFamily="34" charset="0"/>
            </a:endParaRPr>
          </a:p>
        </cdr:txBody>
      </cdr:sp>
      <cdr:sp macro="" textlink="">
        <cdr:nvSpPr>
          <cdr:cNvPr id="27" name="TextBox 26"/>
          <cdr:cNvSpPr txBox="1"/>
        </cdr:nvSpPr>
        <cdr:spPr>
          <a:xfrm xmlns:a="http://schemas.openxmlformats.org/drawingml/2006/main">
            <a:off x="988478" y="1457174"/>
            <a:ext cx="668872"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1100" b="0">
                <a:latin typeface="Century Gothic" pitchFamily="34" charset="0"/>
              </a:rPr>
              <a:t>PRIDE</a:t>
            </a:r>
          </a:p>
        </cdr:txBody>
      </cdr:sp>
    </cdr:grpSp>
  </cdr:relSizeAnchor>
  <cdr:relSizeAnchor xmlns:cdr="http://schemas.openxmlformats.org/drawingml/2006/chartDrawing">
    <cdr:from>
      <cdr:x>0.73082</cdr:x>
      <cdr:y>0.28057</cdr:y>
    </cdr:from>
    <cdr:to>
      <cdr:x>0.93904</cdr:x>
      <cdr:y>0.33684</cdr:y>
    </cdr:to>
    <cdr:grpSp>
      <cdr:nvGrpSpPr>
        <cdr:cNvPr id="40" name="Group 39"/>
        <cdr:cNvGrpSpPr/>
      </cdr:nvGrpSpPr>
      <cdr:grpSpPr>
        <a:xfrm xmlns:a="http://schemas.openxmlformats.org/drawingml/2006/main">
          <a:off x="4846108" y="1485871"/>
          <a:ext cx="1380719" cy="298000"/>
          <a:chOff x="4955450" y="1538137"/>
          <a:chExt cx="1483451" cy="295275"/>
        </a:xfrm>
      </cdr:grpSpPr>
      <cdr:sp macro="" textlink="'Marking Template'!$D$63">
        <cdr:nvSpPr>
          <cdr:cNvPr id="12" name="TextBox 90"/>
          <cdr:cNvSpPr txBox="1"/>
        </cdr:nvSpPr>
        <cdr:spPr>
          <a:xfrm xmlns:a="http://schemas.openxmlformats.org/drawingml/2006/main">
            <a:off x="5951377" y="1538137"/>
            <a:ext cx="487524" cy="295275"/>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nchorCtr="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l"/>
            <a:fld id="{CB46A922-ED76-4ED9-8043-5C887108A445}" type="TxLink">
              <a:rPr lang="en-US" sz="1100" b="0" i="0" u="none" strike="noStrike">
                <a:solidFill>
                  <a:srgbClr val="000000"/>
                </a:solidFill>
                <a:latin typeface="Century Gothic"/>
              </a:rPr>
              <a:pPr algn="l"/>
              <a:t>C-</a:t>
            </a:fld>
            <a:endParaRPr lang="en-GB" sz="1050" b="1">
              <a:solidFill>
                <a:sysClr val="windowText" lastClr="000000"/>
              </a:solidFill>
              <a:latin typeface="Century Gothic" panose="020B0502020202020204" pitchFamily="34" charset="0"/>
            </a:endParaRPr>
          </a:p>
        </cdr:txBody>
      </cdr:sp>
      <cdr:sp macro="" textlink="">
        <cdr:nvSpPr>
          <cdr:cNvPr id="28" name="TextBox 1"/>
          <cdr:cNvSpPr txBox="1"/>
        </cdr:nvSpPr>
        <cdr:spPr>
          <a:xfrm xmlns:a="http://schemas.openxmlformats.org/drawingml/2006/main">
            <a:off x="4955450" y="1552424"/>
            <a:ext cx="1124956" cy="2667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50" b="0">
                <a:latin typeface="Century Gothic" pitchFamily="34" charset="0"/>
              </a:rPr>
              <a:t>INITIAL IDEAS</a:t>
            </a:r>
          </a:p>
        </cdr:txBody>
      </cdr:sp>
    </cdr:grpSp>
  </cdr:relSizeAnchor>
  <cdr:relSizeAnchor xmlns:cdr="http://schemas.openxmlformats.org/drawingml/2006/chartDrawing">
    <cdr:from>
      <cdr:x>0.54915</cdr:x>
      <cdr:y>0.03226</cdr:y>
    </cdr:from>
    <cdr:to>
      <cdr:x>0.61532</cdr:x>
      <cdr:y>0.08308</cdr:y>
    </cdr:to>
    <cdr:sp macro="" textlink="'Marking Template'!$D$61">
      <cdr:nvSpPr>
        <cdr:cNvPr id="11" name="TextBox 90"/>
        <cdr:cNvSpPr txBox="1"/>
      </cdr:nvSpPr>
      <cdr:spPr>
        <a:xfrm xmlns:a="http://schemas.openxmlformats.org/drawingml/2006/main">
          <a:off x="3912495" y="171451"/>
          <a:ext cx="471441" cy="270105"/>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nchorCtr="0"/>
        <a:lstStyle xmlns:a="http://schemas.openxmlformats.org/drawingml/2006/main"/>
        <a:p xmlns:a="http://schemas.openxmlformats.org/drawingml/2006/main">
          <a:pPr algn="l"/>
          <a:fld id="{37D247D0-83BA-4F9B-91AC-AB797317202C}" type="TxLink">
            <a:rPr lang="en-US" sz="1100" b="0" i="0" u="none" strike="noStrike">
              <a:solidFill>
                <a:srgbClr val="000000"/>
              </a:solidFill>
              <a:latin typeface="Century Gothic"/>
            </a:rPr>
            <a:pPr algn="l"/>
            <a:t>C-</a:t>
          </a:fld>
          <a:endParaRPr lang="en-US" sz="1050" b="1" i="0" u="none" strike="noStrike">
            <a:solidFill>
              <a:srgbClr val="000000"/>
            </a:solidFill>
            <a:latin typeface="Century Gothic"/>
          </a:endParaRPr>
        </a:p>
      </cdr:txBody>
    </cdr:sp>
  </cdr:relSizeAnchor>
  <cdr:relSizeAnchor xmlns:cdr="http://schemas.openxmlformats.org/drawingml/2006/chartDrawing">
    <cdr:from>
      <cdr:x>0.41619</cdr:x>
      <cdr:y>0.03408</cdr:y>
    </cdr:from>
    <cdr:to>
      <cdr:x>0.57058</cdr:x>
      <cdr:y>0.0849</cdr:y>
    </cdr:to>
    <cdr:sp macro="" textlink="">
      <cdr:nvSpPr>
        <cdr:cNvPr id="29" name="TextBox 1"/>
        <cdr:cNvSpPr txBox="1"/>
      </cdr:nvSpPr>
      <cdr:spPr>
        <a:xfrm xmlns:a="http://schemas.openxmlformats.org/drawingml/2006/main">
          <a:off x="2965195" y="181123"/>
          <a:ext cx="1099982" cy="27010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50" b="0">
              <a:latin typeface="Century Gothic" pitchFamily="34" charset="0"/>
            </a:rPr>
            <a:t>RESEARCH</a:t>
          </a:r>
        </a:p>
      </cdr:txBody>
    </cdr:sp>
  </cdr:relSizeAnchor>
  <cdr:relSizeAnchor xmlns:cdr="http://schemas.openxmlformats.org/drawingml/2006/chartDrawing">
    <cdr:from>
      <cdr:x>0.21934</cdr:x>
      <cdr:y>0.93449</cdr:y>
    </cdr:from>
    <cdr:to>
      <cdr:x>0.44385</cdr:x>
      <cdr:y>0.99132</cdr:y>
    </cdr:to>
    <cdr:grpSp>
      <cdr:nvGrpSpPr>
        <cdr:cNvPr id="38" name="Group 37"/>
        <cdr:cNvGrpSpPr/>
      </cdr:nvGrpSpPr>
      <cdr:grpSpPr>
        <a:xfrm xmlns:a="http://schemas.openxmlformats.org/drawingml/2006/main">
          <a:off x="1454456" y="4948966"/>
          <a:ext cx="1488738" cy="300966"/>
          <a:chOff x="1562742" y="4943476"/>
          <a:chExt cx="1599523" cy="298229"/>
        </a:xfrm>
      </cdr:grpSpPr>
      <cdr:sp macro="" textlink="'Marking Template'!$D$67">
        <cdr:nvSpPr>
          <cdr:cNvPr id="14" name="TextBox 90"/>
          <cdr:cNvSpPr txBox="1"/>
        </cdr:nvSpPr>
        <cdr:spPr>
          <a:xfrm xmlns:a="http://schemas.openxmlformats.org/drawingml/2006/main">
            <a:off x="2649539" y="4943476"/>
            <a:ext cx="512726" cy="298229"/>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nchorCtr="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l"/>
            <a:fld id="{C73F2A23-EDEE-470D-9DEC-6E35E77D6532}" type="TxLink">
              <a:rPr lang="en-US" sz="1100" b="0" i="0" u="none" strike="noStrike">
                <a:solidFill>
                  <a:srgbClr val="000000"/>
                </a:solidFill>
                <a:latin typeface="Century Gothic"/>
              </a:rPr>
              <a:pPr algn="l"/>
              <a:t>C-</a:t>
            </a:fld>
            <a:endParaRPr lang="en-GB" sz="1050" b="1">
              <a:solidFill>
                <a:sysClr val="windowText" lastClr="000000"/>
              </a:solidFill>
              <a:latin typeface="Century Gothic" panose="020B0502020202020204" pitchFamily="34" charset="0"/>
            </a:endParaRPr>
          </a:p>
        </cdr:txBody>
      </cdr:sp>
      <cdr:sp macro="" textlink="">
        <cdr:nvSpPr>
          <cdr:cNvPr id="30" name="TextBox 1"/>
          <cdr:cNvSpPr txBox="1"/>
        </cdr:nvSpPr>
        <cdr:spPr>
          <a:xfrm xmlns:a="http://schemas.openxmlformats.org/drawingml/2006/main">
            <a:off x="1562742" y="4959240"/>
            <a:ext cx="1251981" cy="2667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50" b="0">
                <a:latin typeface="Century Gothic" pitchFamily="34" charset="0"/>
              </a:rPr>
              <a:t>PRESENTATION</a:t>
            </a:r>
          </a:p>
        </cdr:txBody>
      </cdr:sp>
    </cdr:grpSp>
  </cdr:relSizeAnchor>
  <cdr:relSizeAnchor xmlns:cdr="http://schemas.openxmlformats.org/drawingml/2006/chartDrawing">
    <cdr:from>
      <cdr:x>0.58442</cdr:x>
      <cdr:y>0.9375</cdr:y>
    </cdr:from>
    <cdr:to>
      <cdr:x>0.81417</cdr:x>
      <cdr:y>0.98831</cdr:y>
    </cdr:to>
    <cdr:grpSp>
      <cdr:nvGrpSpPr>
        <cdr:cNvPr id="39" name="Group 38"/>
        <cdr:cNvGrpSpPr/>
      </cdr:nvGrpSpPr>
      <cdr:grpSpPr>
        <a:xfrm xmlns:a="http://schemas.openxmlformats.org/drawingml/2006/main">
          <a:off x="3875322" y="4964906"/>
          <a:ext cx="1523485" cy="269085"/>
          <a:chOff x="4163792" y="4941668"/>
          <a:chExt cx="1636933" cy="266700"/>
        </a:xfrm>
      </cdr:grpSpPr>
      <cdr:sp macro="" textlink="'Marking Template'!$D$65">
        <cdr:nvSpPr>
          <cdr:cNvPr id="13" name="TextBox 90"/>
          <cdr:cNvSpPr txBox="1"/>
        </cdr:nvSpPr>
        <cdr:spPr>
          <a:xfrm xmlns:a="http://schemas.openxmlformats.org/drawingml/2006/main">
            <a:off x="5309094" y="4946431"/>
            <a:ext cx="491631" cy="257174"/>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nchorCtr="0"/>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l"/>
            <a:fld id="{1E4959C1-365E-48B5-866A-9AA6016F2F63}" type="TxLink">
              <a:rPr lang="en-US" sz="1100" b="0" i="0" u="none" strike="noStrike">
                <a:solidFill>
                  <a:srgbClr val="000000"/>
                </a:solidFill>
                <a:latin typeface="Century Gothic"/>
              </a:rPr>
              <a:pPr algn="l"/>
              <a:t>C-</a:t>
            </a:fld>
            <a:endParaRPr lang="en-GB" sz="1050" b="1">
              <a:solidFill>
                <a:sysClr val="windowText" lastClr="000000"/>
              </a:solidFill>
              <a:latin typeface="Century Gothic" panose="020B0502020202020204" pitchFamily="34" charset="0"/>
            </a:endParaRPr>
          </a:p>
        </cdr:txBody>
      </cdr:sp>
      <cdr:sp macro="" textlink="">
        <cdr:nvSpPr>
          <cdr:cNvPr id="31" name="TextBox 1"/>
          <cdr:cNvSpPr txBox="1"/>
        </cdr:nvSpPr>
        <cdr:spPr>
          <a:xfrm xmlns:a="http://schemas.openxmlformats.org/drawingml/2006/main">
            <a:off x="4163792" y="4941668"/>
            <a:ext cx="1251634" cy="2667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050" b="0">
                <a:latin typeface="Century Gothic" pitchFamily="34" charset="0"/>
              </a:rPr>
              <a:t>DEVELOPMENT</a:t>
            </a:r>
          </a:p>
        </cdr:txBody>
      </cdr:sp>
    </cdr:grpSp>
  </cdr:relSizeAnchor>
  <cdr:relSizeAnchor xmlns:cdr="http://schemas.openxmlformats.org/drawingml/2006/chartDrawing">
    <cdr:from>
      <cdr:x>0.467</cdr:x>
      <cdr:y>0.09029</cdr:y>
    </cdr:from>
    <cdr:to>
      <cdr:x>0.57088</cdr:x>
      <cdr:y>0.22094</cdr:y>
    </cdr:to>
    <cdr:pic>
      <cdr:nvPicPr>
        <cdr:cNvPr id="33" name="chart"/>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3327267" y="479899"/>
          <a:ext cx="740114" cy="694398"/>
        </a:xfrm>
        <a:prstGeom xmlns:a="http://schemas.openxmlformats.org/drawingml/2006/main" prst="rect">
          <a:avLst/>
        </a:prstGeom>
      </cdr:spPr>
    </cdr:pic>
  </cdr:relSizeAnchor>
  <cdr:relSizeAnchor xmlns:cdr="http://schemas.openxmlformats.org/drawingml/2006/chartDrawing">
    <cdr:from>
      <cdr:x>0.77489</cdr:x>
      <cdr:y>0.3539</cdr:y>
    </cdr:from>
    <cdr:to>
      <cdr:x>0.87877</cdr:x>
      <cdr:y>0.48456</cdr:y>
    </cdr:to>
    <cdr:pic>
      <cdr:nvPicPr>
        <cdr:cNvPr id="34" name="chart"/>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5114925" y="1857375"/>
          <a:ext cx="685714" cy="685714"/>
        </a:xfrm>
        <a:prstGeom xmlns:a="http://schemas.openxmlformats.org/drawingml/2006/main" prst="rect">
          <a:avLst/>
        </a:prstGeom>
      </cdr:spPr>
    </cdr:pic>
  </cdr:relSizeAnchor>
  <cdr:relSizeAnchor xmlns:cdr="http://schemas.openxmlformats.org/drawingml/2006/chartDrawing">
    <cdr:from>
      <cdr:x>0.65079</cdr:x>
      <cdr:y>0.81125</cdr:y>
    </cdr:from>
    <cdr:to>
      <cdr:x>0.75468</cdr:x>
      <cdr:y>0.94191</cdr:y>
    </cdr:to>
    <cdr:pic>
      <cdr:nvPicPr>
        <cdr:cNvPr id="35" name="chart"/>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4295775" y="4257675"/>
          <a:ext cx="685714" cy="685714"/>
        </a:xfrm>
        <a:prstGeom xmlns:a="http://schemas.openxmlformats.org/drawingml/2006/main" prst="rect">
          <a:avLst/>
        </a:prstGeom>
      </cdr:spPr>
    </cdr:pic>
  </cdr:relSizeAnchor>
  <cdr:relSizeAnchor xmlns:cdr="http://schemas.openxmlformats.org/drawingml/2006/chartDrawing">
    <cdr:from>
      <cdr:x>0.2785</cdr:x>
      <cdr:y>0.80944</cdr:y>
    </cdr:from>
    <cdr:to>
      <cdr:x>0.38238</cdr:x>
      <cdr:y>0.94009</cdr:y>
    </cdr:to>
    <cdr:pic>
      <cdr:nvPicPr>
        <cdr:cNvPr id="36" name="chart"/>
        <cdr:cNvPicPr>
          <a:picLocks xmlns:a="http://schemas.openxmlformats.org/drawingml/2006/main" noChangeAspect="1"/>
        </cdr:cNvPicPr>
      </cdr:nvPicPr>
      <cdr:blipFill>
        <a:blip xmlns:a="http://schemas.openxmlformats.org/drawingml/2006/main" xmlns:r="http://schemas.openxmlformats.org/officeDocument/2006/relationships" r:embed="rId4"/>
        <a:stretch xmlns:a="http://schemas.openxmlformats.org/drawingml/2006/main">
          <a:fillRect/>
        </a:stretch>
      </cdr:blipFill>
      <cdr:spPr>
        <a:xfrm xmlns:a="http://schemas.openxmlformats.org/drawingml/2006/main">
          <a:off x="1838325" y="4248150"/>
          <a:ext cx="685714" cy="685714"/>
        </a:xfrm>
        <a:prstGeom xmlns:a="http://schemas.openxmlformats.org/drawingml/2006/main" prst="rect">
          <a:avLst/>
        </a:prstGeom>
      </cdr:spPr>
    </cdr:pic>
  </cdr:relSizeAnchor>
  <cdr:relSizeAnchor xmlns:cdr="http://schemas.openxmlformats.org/drawingml/2006/chartDrawing">
    <cdr:from>
      <cdr:x>0.15296</cdr:x>
      <cdr:y>0.35209</cdr:y>
    </cdr:from>
    <cdr:to>
      <cdr:x>0.25684</cdr:x>
      <cdr:y>0.48274</cdr:y>
    </cdr:to>
    <cdr:pic>
      <cdr:nvPicPr>
        <cdr:cNvPr id="41" name="chart"/>
        <cdr:cNvPicPr>
          <a:picLocks xmlns:a="http://schemas.openxmlformats.org/drawingml/2006/main" noChangeAspect="1"/>
        </cdr:cNvPicPr>
      </cdr:nvPicPr>
      <cdr:blipFill>
        <a:blip xmlns:a="http://schemas.openxmlformats.org/drawingml/2006/main" xmlns:r="http://schemas.openxmlformats.org/officeDocument/2006/relationships" r:embed="rId5"/>
        <a:stretch xmlns:a="http://schemas.openxmlformats.org/drawingml/2006/main">
          <a:fillRect/>
        </a:stretch>
      </cdr:blipFill>
      <cdr:spPr>
        <a:xfrm xmlns:a="http://schemas.openxmlformats.org/drawingml/2006/main">
          <a:off x="1009650" y="1847850"/>
          <a:ext cx="685714" cy="685714"/>
        </a:xfrm>
        <a:prstGeom xmlns:a="http://schemas.openxmlformats.org/drawingml/2006/main" prst="rect">
          <a:avLst/>
        </a:prstGeom>
      </cdr:spPr>
    </cdr:pic>
  </cdr:relSizeAnchor>
</c:userShapes>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0</xdr:colOff>
          <xdr:row>9</xdr:row>
          <xdr:rowOff>95250</xdr:rowOff>
        </xdr:from>
        <xdr:to>
          <xdr:col>26</xdr:col>
          <xdr:colOff>95250</xdr:colOff>
          <xdr:row>12</xdr:row>
          <xdr:rowOff>228600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100" b="0" i="0" u="none" strike="noStrike" baseline="0">
                  <a:solidFill>
                    <a:srgbClr val="000000"/>
                  </a:solidFill>
                  <a:latin typeface="Century Gothic"/>
                </a:rPr>
                <a:t>Create Project 1 PDF &amp; 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0</xdr:colOff>
          <xdr:row>13</xdr:row>
          <xdr:rowOff>114300</xdr:rowOff>
        </xdr:from>
        <xdr:to>
          <xdr:col>26</xdr:col>
          <xdr:colOff>95250</xdr:colOff>
          <xdr:row>17</xdr:row>
          <xdr:rowOff>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100" b="0" i="0" u="none" strike="noStrike" baseline="0">
                  <a:solidFill>
                    <a:srgbClr val="000000"/>
                  </a:solidFill>
                  <a:latin typeface="Century Gothic"/>
                </a:rPr>
                <a:t>Create Project 2 PDF &amp; 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0</xdr:colOff>
          <xdr:row>5</xdr:row>
          <xdr:rowOff>104775</xdr:rowOff>
        </xdr:from>
        <xdr:to>
          <xdr:col>26</xdr:col>
          <xdr:colOff>95250</xdr:colOff>
          <xdr:row>8</xdr:row>
          <xdr:rowOff>238125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100" b="0" i="0" u="none" strike="noStrike" baseline="0">
                  <a:solidFill>
                    <a:srgbClr val="000000"/>
                  </a:solidFill>
                  <a:latin typeface="Century Gothic"/>
                </a:rPr>
                <a:t>Create Marking Sheets</a:t>
              </a:r>
            </a:p>
          </xdr:txBody>
        </xdr:sp>
        <xdr:clientData fPrintsWithSheet="0"/>
      </xdr:twoCellAnchor>
    </mc:Choice>
    <mc:Fallback/>
  </mc:AlternateContent>
  <xdr:twoCellAnchor editAs="oneCell">
    <xdr:from>
      <xdr:col>1</xdr:col>
      <xdr:colOff>0</xdr:colOff>
      <xdr:row>31</xdr:row>
      <xdr:rowOff>0</xdr:rowOff>
    </xdr:from>
    <xdr:to>
      <xdr:col>1</xdr:col>
      <xdr:colOff>0</xdr:colOff>
      <xdr:row>33</xdr:row>
      <xdr:rowOff>95250</xdr:rowOff>
    </xdr:to>
    <xdr:sp macro="" textlink="">
      <xdr:nvSpPr>
        <xdr:cNvPr id="5" name="AutoShape 1" descr="Grades for Andrew Bell">
          <a:hlinkClick xmlns:r="http://schemas.openxmlformats.org/officeDocument/2006/relationships" r:id="rId1"/>
        </xdr:cNvPr>
        <xdr:cNvSpPr>
          <a:spLocks noChangeAspect="1" noChangeArrowheads="1"/>
        </xdr:cNvSpPr>
      </xdr:nvSpPr>
      <xdr:spPr bwMode="auto">
        <a:xfrm>
          <a:off x="4067175" y="6000750"/>
          <a:ext cx="304800" cy="495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31</xdr:row>
      <xdr:rowOff>0</xdr:rowOff>
    </xdr:from>
    <xdr:to>
      <xdr:col>1</xdr:col>
      <xdr:colOff>0</xdr:colOff>
      <xdr:row>33</xdr:row>
      <xdr:rowOff>95250</xdr:rowOff>
    </xdr:to>
    <xdr:sp macro="" textlink="">
      <xdr:nvSpPr>
        <xdr:cNvPr id="6" name="AutoShape 2" descr="Single view for Andrew Bell">
          <a:hlinkClick xmlns:r="http://schemas.openxmlformats.org/officeDocument/2006/relationships" r:id="rId2"/>
        </xdr:cNvPr>
        <xdr:cNvSpPr>
          <a:spLocks noChangeAspect="1" noChangeArrowheads="1"/>
        </xdr:cNvSpPr>
      </xdr:nvSpPr>
      <xdr:spPr bwMode="auto">
        <a:xfrm>
          <a:off x="4067175" y="6000750"/>
          <a:ext cx="304800" cy="495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32</xdr:row>
      <xdr:rowOff>0</xdr:rowOff>
    </xdr:from>
    <xdr:to>
      <xdr:col>1</xdr:col>
      <xdr:colOff>0</xdr:colOff>
      <xdr:row>34</xdr:row>
      <xdr:rowOff>76200</xdr:rowOff>
    </xdr:to>
    <xdr:sp macro="" textlink="">
      <xdr:nvSpPr>
        <xdr:cNvPr id="7" name="AutoShape 4" descr="Grades for Craig Betts">
          <a:hlinkClick xmlns:r="http://schemas.openxmlformats.org/officeDocument/2006/relationships" r:id="rId3"/>
        </xdr:cNvPr>
        <xdr:cNvSpPr>
          <a:spLocks noChangeAspect="1" noChangeArrowheads="1"/>
        </xdr:cNvSpPr>
      </xdr:nvSpPr>
      <xdr:spPr bwMode="auto">
        <a:xfrm>
          <a:off x="4067175" y="6200775"/>
          <a:ext cx="304800" cy="4762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32</xdr:row>
      <xdr:rowOff>0</xdr:rowOff>
    </xdr:from>
    <xdr:to>
      <xdr:col>1</xdr:col>
      <xdr:colOff>0</xdr:colOff>
      <xdr:row>34</xdr:row>
      <xdr:rowOff>76200</xdr:rowOff>
    </xdr:to>
    <xdr:sp macro="" textlink="">
      <xdr:nvSpPr>
        <xdr:cNvPr id="8" name="AutoShape 5" descr="Single view for Craig Betts">
          <a:hlinkClick xmlns:r="http://schemas.openxmlformats.org/officeDocument/2006/relationships" r:id="rId4"/>
        </xdr:cNvPr>
        <xdr:cNvSpPr>
          <a:spLocks noChangeAspect="1" noChangeArrowheads="1"/>
        </xdr:cNvSpPr>
      </xdr:nvSpPr>
      <xdr:spPr bwMode="auto">
        <a:xfrm>
          <a:off x="4067175" y="6200775"/>
          <a:ext cx="304800" cy="4762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9</xdr:row>
      <xdr:rowOff>304800</xdr:rowOff>
    </xdr:from>
    <xdr:to>
      <xdr:col>1</xdr:col>
      <xdr:colOff>0</xdr:colOff>
      <xdr:row>12</xdr:row>
      <xdr:rowOff>142875</xdr:rowOff>
    </xdr:to>
    <xdr:sp macro="" textlink="">
      <xdr:nvSpPr>
        <xdr:cNvPr id="9" name="AutoShape 10" descr="Grades for Lucy Booth">
          <a:hlinkClick xmlns:r="http://schemas.openxmlformats.org/officeDocument/2006/relationships" r:id="rId5"/>
        </xdr:cNvPr>
        <xdr:cNvSpPr>
          <a:spLocks noChangeAspect="1" noChangeArrowheads="1"/>
        </xdr:cNvSpPr>
      </xdr:nvSpPr>
      <xdr:spPr bwMode="auto">
        <a:xfrm>
          <a:off x="4067175" y="1800225"/>
          <a:ext cx="304800" cy="5429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9</xdr:row>
      <xdr:rowOff>304800</xdr:rowOff>
    </xdr:from>
    <xdr:to>
      <xdr:col>1</xdr:col>
      <xdr:colOff>0</xdr:colOff>
      <xdr:row>12</xdr:row>
      <xdr:rowOff>142875</xdr:rowOff>
    </xdr:to>
    <xdr:sp macro="" textlink="">
      <xdr:nvSpPr>
        <xdr:cNvPr id="10" name="AutoShape 11" descr="Single view for Lucy Booth">
          <a:hlinkClick xmlns:r="http://schemas.openxmlformats.org/officeDocument/2006/relationships" r:id="rId6"/>
        </xdr:cNvPr>
        <xdr:cNvSpPr>
          <a:spLocks noChangeAspect="1" noChangeArrowheads="1"/>
        </xdr:cNvSpPr>
      </xdr:nvSpPr>
      <xdr:spPr bwMode="auto">
        <a:xfrm>
          <a:off x="4067175" y="1800225"/>
          <a:ext cx="304800" cy="5429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21</xdr:row>
      <xdr:rowOff>19050</xdr:rowOff>
    </xdr:from>
    <xdr:to>
      <xdr:col>1</xdr:col>
      <xdr:colOff>0</xdr:colOff>
      <xdr:row>23</xdr:row>
      <xdr:rowOff>95250</xdr:rowOff>
    </xdr:to>
    <xdr:sp macro="" textlink="">
      <xdr:nvSpPr>
        <xdr:cNvPr id="11" name="AutoShape 19" descr="Grades for Cameron Brown">
          <a:hlinkClick xmlns:r="http://schemas.openxmlformats.org/officeDocument/2006/relationships" r:id="rId7"/>
        </xdr:cNvPr>
        <xdr:cNvSpPr>
          <a:spLocks noChangeAspect="1" noChangeArrowheads="1"/>
        </xdr:cNvSpPr>
      </xdr:nvSpPr>
      <xdr:spPr bwMode="auto">
        <a:xfrm>
          <a:off x="4067175" y="4019550"/>
          <a:ext cx="304800" cy="4762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21</xdr:row>
      <xdr:rowOff>19050</xdr:rowOff>
    </xdr:from>
    <xdr:to>
      <xdr:col>1</xdr:col>
      <xdr:colOff>0</xdr:colOff>
      <xdr:row>23</xdr:row>
      <xdr:rowOff>95250</xdr:rowOff>
    </xdr:to>
    <xdr:sp macro="" textlink="">
      <xdr:nvSpPr>
        <xdr:cNvPr id="12" name="AutoShape 20" descr="Single view for Cameron Brown">
          <a:hlinkClick xmlns:r="http://schemas.openxmlformats.org/officeDocument/2006/relationships" r:id="rId8"/>
        </xdr:cNvPr>
        <xdr:cNvSpPr>
          <a:spLocks noChangeAspect="1" noChangeArrowheads="1"/>
        </xdr:cNvSpPr>
      </xdr:nvSpPr>
      <xdr:spPr bwMode="auto">
        <a:xfrm>
          <a:off x="4067175" y="4019550"/>
          <a:ext cx="304800" cy="4762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23</xdr:row>
      <xdr:rowOff>47625</xdr:rowOff>
    </xdr:from>
    <xdr:to>
      <xdr:col>1</xdr:col>
      <xdr:colOff>0</xdr:colOff>
      <xdr:row>25</xdr:row>
      <xdr:rowOff>123825</xdr:rowOff>
    </xdr:to>
    <xdr:sp macro="" textlink="">
      <xdr:nvSpPr>
        <xdr:cNvPr id="13" name="AutoShape 34" descr="Grades for Heather Campbell">
          <a:hlinkClick xmlns:r="http://schemas.openxmlformats.org/officeDocument/2006/relationships" r:id="rId9"/>
        </xdr:cNvPr>
        <xdr:cNvSpPr>
          <a:spLocks noChangeAspect="1" noChangeArrowheads="1"/>
        </xdr:cNvSpPr>
      </xdr:nvSpPr>
      <xdr:spPr bwMode="auto">
        <a:xfrm>
          <a:off x="4067175" y="4448175"/>
          <a:ext cx="304800" cy="4762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23</xdr:row>
      <xdr:rowOff>47625</xdr:rowOff>
    </xdr:from>
    <xdr:to>
      <xdr:col>1</xdr:col>
      <xdr:colOff>0</xdr:colOff>
      <xdr:row>25</xdr:row>
      <xdr:rowOff>123825</xdr:rowOff>
    </xdr:to>
    <xdr:sp macro="" textlink="">
      <xdr:nvSpPr>
        <xdr:cNvPr id="14" name="AutoShape 35" descr="Single view for Heather Campbell">
          <a:hlinkClick xmlns:r="http://schemas.openxmlformats.org/officeDocument/2006/relationships" r:id="rId10"/>
        </xdr:cNvPr>
        <xdr:cNvSpPr>
          <a:spLocks noChangeAspect="1" noChangeArrowheads="1"/>
        </xdr:cNvSpPr>
      </xdr:nvSpPr>
      <xdr:spPr bwMode="auto">
        <a:xfrm>
          <a:off x="4067175" y="4448175"/>
          <a:ext cx="304800" cy="4762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10</xdr:row>
      <xdr:rowOff>466725</xdr:rowOff>
    </xdr:from>
    <xdr:to>
      <xdr:col>1</xdr:col>
      <xdr:colOff>0</xdr:colOff>
      <xdr:row>13</xdr:row>
      <xdr:rowOff>161925</xdr:rowOff>
    </xdr:to>
    <xdr:sp macro="" textlink="">
      <xdr:nvSpPr>
        <xdr:cNvPr id="15" name="AutoShape 46" descr="Grades for Maria Duda">
          <a:hlinkClick xmlns:r="http://schemas.openxmlformats.org/officeDocument/2006/relationships" r:id="rId11"/>
        </xdr:cNvPr>
        <xdr:cNvSpPr>
          <a:spLocks noChangeAspect="1" noChangeArrowheads="1"/>
        </xdr:cNvSpPr>
      </xdr:nvSpPr>
      <xdr:spPr bwMode="auto">
        <a:xfrm>
          <a:off x="4067175" y="2000250"/>
          <a:ext cx="304800" cy="5619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10</xdr:row>
      <xdr:rowOff>466725</xdr:rowOff>
    </xdr:from>
    <xdr:to>
      <xdr:col>1</xdr:col>
      <xdr:colOff>0</xdr:colOff>
      <xdr:row>13</xdr:row>
      <xdr:rowOff>161925</xdr:rowOff>
    </xdr:to>
    <xdr:sp macro="" textlink="">
      <xdr:nvSpPr>
        <xdr:cNvPr id="16" name="AutoShape 47" descr="Single view for Maria Duda">
          <a:hlinkClick xmlns:r="http://schemas.openxmlformats.org/officeDocument/2006/relationships" r:id="rId12"/>
        </xdr:cNvPr>
        <xdr:cNvSpPr>
          <a:spLocks noChangeAspect="1" noChangeArrowheads="1"/>
        </xdr:cNvSpPr>
      </xdr:nvSpPr>
      <xdr:spPr bwMode="auto">
        <a:xfrm>
          <a:off x="4067175" y="2000250"/>
          <a:ext cx="304800" cy="5619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27</xdr:row>
      <xdr:rowOff>0</xdr:rowOff>
    </xdr:from>
    <xdr:to>
      <xdr:col>1</xdr:col>
      <xdr:colOff>0</xdr:colOff>
      <xdr:row>29</xdr:row>
      <xdr:rowOff>76200</xdr:rowOff>
    </xdr:to>
    <xdr:sp macro="" textlink="">
      <xdr:nvSpPr>
        <xdr:cNvPr id="17" name="AutoShape 55" descr="Grades for Andy Foote">
          <a:hlinkClick xmlns:r="http://schemas.openxmlformats.org/officeDocument/2006/relationships" r:id="rId13"/>
        </xdr:cNvPr>
        <xdr:cNvSpPr>
          <a:spLocks noChangeAspect="1" noChangeArrowheads="1"/>
        </xdr:cNvSpPr>
      </xdr:nvSpPr>
      <xdr:spPr bwMode="auto">
        <a:xfrm>
          <a:off x="4067175" y="5200650"/>
          <a:ext cx="304800" cy="4762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27</xdr:row>
      <xdr:rowOff>0</xdr:rowOff>
    </xdr:from>
    <xdr:to>
      <xdr:col>1</xdr:col>
      <xdr:colOff>0</xdr:colOff>
      <xdr:row>29</xdr:row>
      <xdr:rowOff>76200</xdr:rowOff>
    </xdr:to>
    <xdr:sp macro="" textlink="">
      <xdr:nvSpPr>
        <xdr:cNvPr id="18" name="AutoShape 56" descr="Single view for Andy Foote">
          <a:hlinkClick xmlns:r="http://schemas.openxmlformats.org/officeDocument/2006/relationships" r:id="rId14"/>
        </xdr:cNvPr>
        <xdr:cNvSpPr>
          <a:spLocks noChangeAspect="1" noChangeArrowheads="1"/>
        </xdr:cNvSpPr>
      </xdr:nvSpPr>
      <xdr:spPr bwMode="auto">
        <a:xfrm>
          <a:off x="4067175" y="5200650"/>
          <a:ext cx="304800" cy="4762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18</xdr:row>
      <xdr:rowOff>57150</xdr:rowOff>
    </xdr:from>
    <xdr:to>
      <xdr:col>1</xdr:col>
      <xdr:colOff>0</xdr:colOff>
      <xdr:row>20</xdr:row>
      <xdr:rowOff>133350</xdr:rowOff>
    </xdr:to>
    <xdr:sp macro="" textlink="">
      <xdr:nvSpPr>
        <xdr:cNvPr id="19" name="AutoShape 85" descr="Grades for Pati Kilanowska">
          <a:hlinkClick xmlns:r="http://schemas.openxmlformats.org/officeDocument/2006/relationships" r:id="rId15"/>
        </xdr:cNvPr>
        <xdr:cNvSpPr>
          <a:spLocks noChangeAspect="1" noChangeArrowheads="1"/>
        </xdr:cNvSpPr>
      </xdr:nvSpPr>
      <xdr:spPr bwMode="auto">
        <a:xfrm>
          <a:off x="4067175" y="3457575"/>
          <a:ext cx="304800" cy="4762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18</xdr:row>
      <xdr:rowOff>57150</xdr:rowOff>
    </xdr:from>
    <xdr:to>
      <xdr:col>1</xdr:col>
      <xdr:colOff>0</xdr:colOff>
      <xdr:row>20</xdr:row>
      <xdr:rowOff>133350</xdr:rowOff>
    </xdr:to>
    <xdr:sp macro="" textlink="">
      <xdr:nvSpPr>
        <xdr:cNvPr id="20" name="AutoShape 86" descr="Single view for Pati Kilanowska">
          <a:hlinkClick xmlns:r="http://schemas.openxmlformats.org/officeDocument/2006/relationships" r:id="rId16"/>
        </xdr:cNvPr>
        <xdr:cNvSpPr>
          <a:spLocks noChangeAspect="1" noChangeArrowheads="1"/>
        </xdr:cNvSpPr>
      </xdr:nvSpPr>
      <xdr:spPr bwMode="auto">
        <a:xfrm>
          <a:off x="4067175" y="3457575"/>
          <a:ext cx="304800" cy="4762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28</xdr:row>
      <xdr:rowOff>457200</xdr:rowOff>
    </xdr:from>
    <xdr:to>
      <xdr:col>1</xdr:col>
      <xdr:colOff>0</xdr:colOff>
      <xdr:row>31</xdr:row>
      <xdr:rowOff>171450</xdr:rowOff>
    </xdr:to>
    <xdr:sp macro="" textlink="">
      <xdr:nvSpPr>
        <xdr:cNvPr id="21" name="AutoShape 115" descr="Grades for Sarah Macrae">
          <a:hlinkClick xmlns:r="http://schemas.openxmlformats.org/officeDocument/2006/relationships" r:id="rId17"/>
        </xdr:cNvPr>
        <xdr:cNvSpPr>
          <a:spLocks noChangeAspect="1" noChangeArrowheads="1"/>
        </xdr:cNvSpPr>
      </xdr:nvSpPr>
      <xdr:spPr bwMode="auto">
        <a:xfrm>
          <a:off x="4067175" y="5600700"/>
          <a:ext cx="304800" cy="571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28</xdr:row>
      <xdr:rowOff>457200</xdr:rowOff>
    </xdr:from>
    <xdr:to>
      <xdr:col>1</xdr:col>
      <xdr:colOff>0</xdr:colOff>
      <xdr:row>31</xdr:row>
      <xdr:rowOff>171450</xdr:rowOff>
    </xdr:to>
    <xdr:sp macro="" textlink="">
      <xdr:nvSpPr>
        <xdr:cNvPr id="22" name="AutoShape 116" descr="Single view for Sarah Macrae">
          <a:hlinkClick xmlns:r="http://schemas.openxmlformats.org/officeDocument/2006/relationships" r:id="rId18"/>
        </xdr:cNvPr>
        <xdr:cNvSpPr>
          <a:spLocks noChangeAspect="1" noChangeArrowheads="1"/>
        </xdr:cNvSpPr>
      </xdr:nvSpPr>
      <xdr:spPr bwMode="auto">
        <a:xfrm>
          <a:off x="4067175" y="5600700"/>
          <a:ext cx="304800" cy="571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12</xdr:row>
      <xdr:rowOff>542925</xdr:rowOff>
    </xdr:from>
    <xdr:to>
      <xdr:col>1</xdr:col>
      <xdr:colOff>0</xdr:colOff>
      <xdr:row>15</xdr:row>
      <xdr:rowOff>85725</xdr:rowOff>
    </xdr:to>
    <xdr:sp macro="" textlink="">
      <xdr:nvSpPr>
        <xdr:cNvPr id="23" name="AutoShape 124" descr="Grades for Amy Mcleod">
          <a:hlinkClick xmlns:r="http://schemas.openxmlformats.org/officeDocument/2006/relationships" r:id="rId19"/>
        </xdr:cNvPr>
        <xdr:cNvSpPr>
          <a:spLocks noChangeAspect="1" noChangeArrowheads="1"/>
        </xdr:cNvSpPr>
      </xdr:nvSpPr>
      <xdr:spPr bwMode="auto">
        <a:xfrm>
          <a:off x="4067175" y="2400300"/>
          <a:ext cx="304800" cy="485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12</xdr:row>
      <xdr:rowOff>542925</xdr:rowOff>
    </xdr:from>
    <xdr:to>
      <xdr:col>1</xdr:col>
      <xdr:colOff>0</xdr:colOff>
      <xdr:row>15</xdr:row>
      <xdr:rowOff>85725</xdr:rowOff>
    </xdr:to>
    <xdr:sp macro="" textlink="">
      <xdr:nvSpPr>
        <xdr:cNvPr id="24" name="AutoShape 125" descr="Single view for Amy Mcleod">
          <a:hlinkClick xmlns:r="http://schemas.openxmlformats.org/officeDocument/2006/relationships" r:id="rId20"/>
        </xdr:cNvPr>
        <xdr:cNvSpPr>
          <a:spLocks noChangeAspect="1" noChangeArrowheads="1"/>
        </xdr:cNvSpPr>
      </xdr:nvSpPr>
      <xdr:spPr bwMode="auto">
        <a:xfrm>
          <a:off x="4067175" y="2400300"/>
          <a:ext cx="304800" cy="485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1</xdr:col>
      <xdr:colOff>0</xdr:colOff>
      <xdr:row>24</xdr:row>
      <xdr:rowOff>19050</xdr:rowOff>
    </xdr:from>
    <xdr:ext cx="304800" cy="657225"/>
    <xdr:sp macro="" textlink="">
      <xdr:nvSpPr>
        <xdr:cNvPr id="25" name="AutoShape 121" descr="Grades for Jeanette Marshall">
          <a:hlinkClick xmlns:r="http://schemas.openxmlformats.org/officeDocument/2006/relationships" r:id="rId21"/>
        </xdr:cNvPr>
        <xdr:cNvSpPr>
          <a:spLocks noChangeAspect="1" noChangeArrowheads="1"/>
        </xdr:cNvSpPr>
      </xdr:nvSpPr>
      <xdr:spPr bwMode="auto">
        <a:xfrm>
          <a:off x="4067175" y="4619625"/>
          <a:ext cx="304800" cy="6572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xdr:col>
      <xdr:colOff>0</xdr:colOff>
      <xdr:row>24</xdr:row>
      <xdr:rowOff>19050</xdr:rowOff>
    </xdr:from>
    <xdr:ext cx="304800" cy="657225"/>
    <xdr:sp macro="" textlink="">
      <xdr:nvSpPr>
        <xdr:cNvPr id="26" name="AutoShape 122" descr="Single view for Jeanette Marshall">
          <a:hlinkClick xmlns:r="http://schemas.openxmlformats.org/officeDocument/2006/relationships" r:id="rId22"/>
        </xdr:cNvPr>
        <xdr:cNvSpPr>
          <a:spLocks noChangeAspect="1" noChangeArrowheads="1"/>
        </xdr:cNvSpPr>
      </xdr:nvSpPr>
      <xdr:spPr bwMode="auto">
        <a:xfrm>
          <a:off x="4067175" y="4619625"/>
          <a:ext cx="304800" cy="6572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control" Target="../activeX/activeX10.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R89"/>
  <sheetViews>
    <sheetView showGridLines="0" tabSelected="1" zoomScale="115" zoomScaleNormal="115" zoomScaleSheetLayoutView="100" workbookViewId="0">
      <selection activeCell="O19" sqref="O19"/>
    </sheetView>
  </sheetViews>
  <sheetFormatPr defaultRowHeight="14.25" x14ac:dyDescent="0.45"/>
  <cols>
    <col min="2" max="2" width="11.59765625" bestFit="1" customWidth="1"/>
    <col min="3" max="3" width="9.265625" bestFit="1" customWidth="1"/>
    <col min="13" max="13" width="9.73046875" bestFit="1" customWidth="1"/>
    <col min="17" max="17" width="9.1328125" customWidth="1"/>
    <col min="20" max="20" width="11" customWidth="1"/>
  </cols>
  <sheetData>
    <row r="1" spans="1:13" ht="15.4" x14ac:dyDescent="0.45">
      <c r="A1" s="16" t="str">
        <f ca="1">MID(CELL("filename",A1),FIND("]",CELL("filename",A1))+1,255)</f>
        <v>Marking Template</v>
      </c>
      <c r="D1" t="str">
        <f ca="1">VLOOKUP(A1,'Class List'!A:C,3,FALSE)</f>
        <v>Email Address</v>
      </c>
      <c r="M1" s="11"/>
    </row>
    <row r="25" spans="1:18" hidden="1" x14ac:dyDescent="0.45">
      <c r="A25" s="8" t="s">
        <v>72</v>
      </c>
      <c r="B25" s="6">
        <f ca="1">TODAY()</f>
        <v>43606</v>
      </c>
    </row>
    <row r="27" spans="1:18" ht="14.65" hidden="1" thickBot="1" x14ac:dyDescent="0.5">
      <c r="A27" s="8" t="s">
        <v>81</v>
      </c>
    </row>
    <row r="28" spans="1:18" ht="15" hidden="1" thickBot="1" x14ac:dyDescent="0.5">
      <c r="A28" s="8" t="s">
        <v>2</v>
      </c>
      <c r="B28" t="s">
        <v>2</v>
      </c>
      <c r="C28" s="4">
        <f>AVERAGE(C30,C32,C34,C36,C38)</f>
        <v>50</v>
      </c>
      <c r="D28" s="1" t="str">
        <f>IF(C28&gt;84.5,"A+",F28)</f>
        <v>C-</v>
      </c>
      <c r="E28" s="2"/>
      <c r="F28" s="2" t="str">
        <f>IF(C28&gt;74.49,"A",G28)</f>
        <v>C-</v>
      </c>
      <c r="G28" s="2" t="str">
        <f>IF(C28&gt;69.49,"A-",H28)</f>
        <v>C-</v>
      </c>
      <c r="H28" s="2" t="str">
        <f>IF(C28&gt;66.49,"B+",I28)</f>
        <v>C-</v>
      </c>
      <c r="I28" s="2" t="str">
        <f>IF(C28&gt;62.49,"B",J28)</f>
        <v>C-</v>
      </c>
      <c r="J28" s="2" t="str">
        <f>IF(C28&gt;59.49,"B-",K28)</f>
        <v>C-</v>
      </c>
      <c r="K28" s="2" t="str">
        <f>IF(C28&gt;56.49,"C+",L28)</f>
        <v>C-</v>
      </c>
      <c r="L28" s="2" t="str">
        <f>IF(C28&gt;52.49,"C",M28)</f>
        <v>C-</v>
      </c>
      <c r="M28" s="2" t="str">
        <f>IF(C28&gt;49.49,"C-",N28)</f>
        <v>C-</v>
      </c>
      <c r="N28" s="2" t="str">
        <f>IF(C28&gt;46.49,"D+",O28)</f>
        <v>D+</v>
      </c>
      <c r="O28" s="2" t="str">
        <f>IF(C28&gt;42.49,"D",P28)</f>
        <v>D</v>
      </c>
      <c r="P28" s="2" t="str">
        <f>IF(C28&gt;39.49,"D-",Q28)</f>
        <v>D-</v>
      </c>
      <c r="Q28" s="2" t="str">
        <f>IF(C28&gt;30.49,"E",R28)</f>
        <v>E</v>
      </c>
      <c r="R28" s="2" t="str">
        <f>IF(C28&gt;-1,"F",S28)</f>
        <v>F</v>
      </c>
    </row>
    <row r="29" spans="1:18" ht="15" hidden="1" thickBot="1" x14ac:dyDescent="0.5">
      <c r="B29" t="s">
        <v>71</v>
      </c>
      <c r="C29" s="4"/>
      <c r="D29" s="1" t="str">
        <f>IF(C28&gt;84.5,('Assessment Matrix'!B2),F29)</f>
        <v>Sound, but with a number of shortcomings. Demonstrates C grade qualities but contains less critical analysis and little or no originality.</v>
      </c>
      <c r="E29" s="2"/>
      <c r="F29" s="2" t="str">
        <f>IF(C28&gt;74.49,('Assessment Matrix'!C2),G29)</f>
        <v>Sound, but with a number of shortcomings. Demonstrates C grade qualities but contains less critical analysis and little or no originality.</v>
      </c>
      <c r="G29" s="2" t="str">
        <f>IF(C28&gt;69.49,('Assessment Matrix'!D2),H29)</f>
        <v>Sound, but with a number of shortcomings. Demonstrates C grade qualities but contains less critical analysis and little or no originality.</v>
      </c>
      <c r="H29" s="2" t="str">
        <f>IF(C28&gt;66.49,('Assessment Matrix'!E2),I29)</f>
        <v>Sound, but with a number of shortcomings. Demonstrates C grade qualities but contains less critical analysis and little or no originality.</v>
      </c>
      <c r="I29" s="2" t="str">
        <f>IF(C28&gt;62.49,('Assessment Matrix'!F2),J29)</f>
        <v>Sound, but with a number of shortcomings. Demonstrates C grade qualities but contains less critical analysis and little or no originality.</v>
      </c>
      <c r="J29" s="2" t="str">
        <f>IF(C28&gt;59.49,('Assessment Matrix'!G2),K29)</f>
        <v>Sound, but with a number of shortcomings. Demonstrates C grade qualities but contains less critical analysis and little or no originality.</v>
      </c>
      <c r="K29" s="2" t="str">
        <f>IF(C28&gt;56.49,('Assessment Matrix'!H2),L29)</f>
        <v>Sound, but with a number of shortcomings. Demonstrates C grade qualities but contains less critical analysis and little or no originality.</v>
      </c>
      <c r="L29" s="2" t="str">
        <f>IF(C28&gt;52.49,('Assessment Matrix'!I2),M29)</f>
        <v>Sound, but with a number of shortcomings. Demonstrates C grade qualities but contains less critical analysis and little or no originality.</v>
      </c>
      <c r="M29" s="2" t="str">
        <f>IF(C28&gt;49.49,('Assessment Matrix'!J2),N29)</f>
        <v>Sound, but with a number of shortcomings. Demonstrates C grade qualities but contains less critical analysis and little or no originality.</v>
      </c>
      <c r="N29" s="2" t="str">
        <f>IF(C28&gt;46.49,('Assessment Matrix'!K2),O29)</f>
        <v>Fair standard, but with a number of shortcomings. Lacks sufficient analysis and interpretation to warrant a C grade.</v>
      </c>
      <c r="O29" s="2" t="str">
        <f>IF(C28&gt;42.49,('Assessment Matrix'!L2),P29)</f>
        <v xml:space="preserve">Substantially achieved but with inadequate learning experiences and/or identified weaknesses in understanding and application within the module. Limited or deficient </v>
      </c>
      <c r="P29" s="2" t="str">
        <f>IF(C28&gt;39.49,('Assessment Matrix'!M2),Q29)</f>
        <v>At the threshold of Honours, a number of significant shortcomings.</v>
      </c>
      <c r="Q29" s="2" t="str">
        <f>IF(C28&gt;30.49,('Assessment Matrix'!N2),R29)</f>
        <v>Poor skills acquisition and/or use during the module. The learning outcomes not achieved, and with an inadequate or no learning experience.</v>
      </c>
      <c r="R29" s="2" t="str">
        <f>IF(C28&gt;-1,('Assessment Matrix'!O2),S29)</f>
        <v>Little or no skills acquisition and/or use in the module</v>
      </c>
    </row>
    <row r="30" spans="1:18" ht="15.75" hidden="1" thickBot="1" x14ac:dyDescent="0.5">
      <c r="B30" t="s">
        <v>0</v>
      </c>
      <c r="C30" s="9">
        <v>50</v>
      </c>
      <c r="D30" s="1" t="str">
        <f>IF(C30&gt;84.5,"A+",F30)</f>
        <v>C-</v>
      </c>
      <c r="E30" s="2"/>
      <c r="F30" s="2" t="str">
        <f>IF(C30&gt;74.49,"A",G30)</f>
        <v>C-</v>
      </c>
      <c r="G30" s="2" t="str">
        <f>IF(C30&gt;69.49,"A-",H30)</f>
        <v>C-</v>
      </c>
      <c r="H30" s="2" t="str">
        <f>IF(C30&gt;66.49,"B+",I30)</f>
        <v>C-</v>
      </c>
      <c r="I30" s="2" t="str">
        <f>IF(C30&gt;62.49,"B",J30)</f>
        <v>C-</v>
      </c>
      <c r="J30" s="2" t="str">
        <f>IF(C30&gt;59.49,"B-",K30)</f>
        <v>C-</v>
      </c>
      <c r="K30" s="2" t="str">
        <f>IF(C30&gt;56.49,"C+",L30)</f>
        <v>C-</v>
      </c>
      <c r="L30" s="2" t="str">
        <f>IF(C30&gt;52.49,"C",M30)</f>
        <v>C-</v>
      </c>
      <c r="M30" s="2" t="str">
        <f>IF(C30&gt;49.49,"C-",N30)</f>
        <v>C-</v>
      </c>
      <c r="N30" s="2" t="str">
        <f>IF(C30&gt;46.49,"D+",O30)</f>
        <v>D+</v>
      </c>
      <c r="O30" s="2" t="str">
        <f>IF(C30&gt;42.49,"D",P30)</f>
        <v>D</v>
      </c>
      <c r="P30" s="2" t="str">
        <f>IF(C30&gt;39.49,"D-",Q30)</f>
        <v>D-</v>
      </c>
      <c r="Q30" s="2" t="str">
        <f>IF(C30&gt;30.49,"E",R30)</f>
        <v>E</v>
      </c>
      <c r="R30" s="2" t="str">
        <f>IF(C30&gt;-1,"F",S30)</f>
        <v>F</v>
      </c>
    </row>
    <row r="31" spans="1:18" ht="15" hidden="1" thickBot="1" x14ac:dyDescent="0.5">
      <c r="B31" t="s">
        <v>86</v>
      </c>
      <c r="C31" s="4"/>
      <c r="D31" s="1" t="str">
        <f>IF(C30&gt;84.5,('Assessment Matrix'!B3),F31)</f>
        <v>Sound, but with a number of shortcomings. Demonstrates C grade qualities but contains less critical analysis and little or no originality.</v>
      </c>
      <c r="E31" s="2"/>
      <c r="F31" s="2" t="str">
        <f>IF(C30&gt;74.49,('Assessment Matrix'!C3),G31)</f>
        <v>Sound, but with a number of shortcomings. Demonstrates C grade qualities but contains less critical analysis and little or no originality.</v>
      </c>
      <c r="G31" s="2" t="str">
        <f>IF(C30&gt;69.49,('Assessment Matrix'!D3),H31)</f>
        <v>Sound, but with a number of shortcomings. Demonstrates C grade qualities but contains less critical analysis and little or no originality.</v>
      </c>
      <c r="H31" s="2" t="str">
        <f>IF(C30&gt;66.49,('Assessment Matrix'!E3),I31)</f>
        <v>Sound, but with a number of shortcomings. Demonstrates C grade qualities but contains less critical analysis and little or no originality.</v>
      </c>
      <c r="I31" s="2" t="str">
        <f>IF(C30&gt;62.49,('Assessment Matrix'!F3),J31)</f>
        <v>Sound, but with a number of shortcomings. Demonstrates C grade qualities but contains less critical analysis and little or no originality.</v>
      </c>
      <c r="J31" s="2" t="str">
        <f>IF(C30&gt;59.49,('Assessment Matrix'!G3),K31)</f>
        <v>Sound, but with a number of shortcomings. Demonstrates C grade qualities but contains less critical analysis and little or no originality.</v>
      </c>
      <c r="K31" s="2" t="str">
        <f>IF(C30&gt;56.49,('Assessment Matrix'!H3),L31)</f>
        <v>Sound, but with a number of shortcomings. Demonstrates C grade qualities but contains less critical analysis and little or no originality.</v>
      </c>
      <c r="L31" s="2" t="str">
        <f>IF(C30&gt;52.49,('Assessment Matrix'!I3),M31)</f>
        <v>Sound, but with a number of shortcomings. Demonstrates C grade qualities but contains less critical analysis and little or no originality.</v>
      </c>
      <c r="M31" s="2" t="str">
        <f>IF(C30&gt;49.49,('Assessment Matrix'!J3),N31)</f>
        <v>Sound, but with a number of shortcomings. Demonstrates C grade qualities but contains less critical analysis and little or no originality.</v>
      </c>
      <c r="N31" s="2" t="str">
        <f>IF(C30&gt;46.49,('Assessment Matrix'!K3),O31)</f>
        <v>Fair standard, but with a number of shortcomings. Lacks sufficient analysis and interpretation to warrant a C grade.</v>
      </c>
      <c r="O31" s="2" t="str">
        <f>IF(C30&gt;42.49,('Assessment Matrix'!L3),P31)</f>
        <v xml:space="preserve">Some evidence of research and preparation, its use and reaction to it, but which may have constricted the creative output. Minimal documentation of research and evidence </v>
      </c>
      <c r="P31" s="2" t="str">
        <f>IF(C30&gt;39.49,('Assessment Matrix'!M3),Q31)</f>
        <v>At the threshold of Honours, a number of significant shortcomings.</v>
      </c>
      <c r="Q31" s="2" t="str">
        <f>IF(C30&gt;30.49,('Assessment Matrix'!N3),R31)</f>
        <v>Little or no evidence of any appropriate research and preparation, or of its use and reaction to it. Inadequate initiative. Little or no documentation of research.</v>
      </c>
      <c r="R31" s="2" t="str">
        <f>IF(C30&gt;-1,('Assessment Matrix'!O3),S31)</f>
        <v>No evidence of appropriate initiative. Failure to undertake research and preparation detailed in either the assignment or module documentation.</v>
      </c>
    </row>
    <row r="32" spans="1:18" ht="15" hidden="1" thickBot="1" x14ac:dyDescent="0.5">
      <c r="B32" t="s">
        <v>73</v>
      </c>
      <c r="C32" s="4">
        <v>50</v>
      </c>
      <c r="D32" s="1" t="str">
        <f>IF(C32&gt;84.5,"A+",F32)</f>
        <v>C-</v>
      </c>
      <c r="E32" s="2"/>
      <c r="F32" s="2" t="str">
        <f>IF(C32&gt;74.49,"A",G32)</f>
        <v>C-</v>
      </c>
      <c r="G32" s="2" t="str">
        <f>IF(C32&gt;69.49,"A-",H32)</f>
        <v>C-</v>
      </c>
      <c r="H32" s="2" t="str">
        <f>IF(C32&gt;66.49,"B+",I32)</f>
        <v>C-</v>
      </c>
      <c r="I32" s="2" t="str">
        <f>IF(C32&gt;62.49,"B",J32)</f>
        <v>C-</v>
      </c>
      <c r="J32" s="2" t="str">
        <f>IF(C32&gt;59.49,"B-",K32)</f>
        <v>C-</v>
      </c>
      <c r="K32" s="2" t="str">
        <f>IF(C32&gt;56.49,"C+",L32)</f>
        <v>C-</v>
      </c>
      <c r="L32" s="2" t="str">
        <f>IF(C32&gt;52.49,"C",M32)</f>
        <v>C-</v>
      </c>
      <c r="M32" s="2" t="str">
        <f>IF(C32&gt;49.49,"C-",N32)</f>
        <v>C-</v>
      </c>
      <c r="N32" s="2" t="str">
        <f>IF(C32&gt;46.49,"D+",O32)</f>
        <v>D+</v>
      </c>
      <c r="O32" s="2" t="str">
        <f>IF(C32&gt;42.49,"D",P32)</f>
        <v>D</v>
      </c>
      <c r="P32" s="2" t="str">
        <f>IF(C32&gt;39.49,"D-",Q32)</f>
        <v>D-</v>
      </c>
      <c r="Q32" s="2" t="str">
        <f>IF(C32&gt;30.49,"E",R32)</f>
        <v>E</v>
      </c>
      <c r="R32" s="2" t="str">
        <f>IF(C32&gt;-1,"F",S31)</f>
        <v>F</v>
      </c>
    </row>
    <row r="33" spans="1:18" ht="15" hidden="1" thickBot="1" x14ac:dyDescent="0.5">
      <c r="B33" t="s">
        <v>87</v>
      </c>
      <c r="C33" s="4"/>
      <c r="D33" s="1" t="str">
        <f>IF(C32&gt;84.5,('Assessment Matrix'!B4),F33)</f>
        <v>Sound, but with a number of shortcomings. Demonstrates C grade qualities but contains less critical analysis and little or no originality.</v>
      </c>
      <c r="E33" s="2"/>
      <c r="F33" s="2" t="str">
        <f>IF(C32&gt;74.49,('Assessment Matrix'!C4),G33)</f>
        <v>Sound, but with a number of shortcomings. Demonstrates C grade qualities but contains less critical analysis and little or no originality.</v>
      </c>
      <c r="G33" s="2" t="str">
        <f>IF(C32&gt;69.49,('Assessment Matrix'!D4),H33)</f>
        <v>Sound, but with a number of shortcomings. Demonstrates C grade qualities but contains less critical analysis and little or no originality.</v>
      </c>
      <c r="H33" s="2" t="str">
        <f>IF(C32&gt;66.49,('Assessment Matrix'!E4),I33)</f>
        <v>Sound, but with a number of shortcomings. Demonstrates C grade qualities but contains less critical analysis and little or no originality.</v>
      </c>
      <c r="I33" s="2" t="str">
        <f>IF(C32&gt;62.49,('Assessment Matrix'!F4),J33)</f>
        <v>Sound, but with a number of shortcomings. Demonstrates C grade qualities but contains less critical analysis and little or no originality.</v>
      </c>
      <c r="J33" s="2" t="str">
        <f>IF(C32&gt;59.49,('Assessment Matrix'!G4),K33)</f>
        <v>Sound, but with a number of shortcomings. Demonstrates C grade qualities but contains less critical analysis and little or no originality.</v>
      </c>
      <c r="K33" s="2" t="str">
        <f>IF(C32&gt;56.49,('Assessment Matrix'!H4),L33)</f>
        <v>Sound, but with a number of shortcomings. Demonstrates C grade qualities but contains less critical analysis and little or no originality.</v>
      </c>
      <c r="L33" s="2" t="str">
        <f>IF(C32&gt;52.49,('Assessment Matrix'!I4),M33)</f>
        <v>Sound, but with a number of shortcomings. Demonstrates C grade qualities but contains less critical analysis and little or no originality.</v>
      </c>
      <c r="M33" s="2" t="str">
        <f>IF(C32&gt;49.49,('Assessment Matrix'!J4),N33)</f>
        <v>Sound, but with a number of shortcomings. Demonstrates C grade qualities but contains less critical analysis and little or no originality.</v>
      </c>
      <c r="N33" s="2" t="str">
        <f>IF(C32&gt;46.49,('Assessment Matrix'!K4),O33)</f>
        <v>Fair standard, but with a number of shortcomings. Lacks sufficient analysis and interpretation to warrant a C grade.</v>
      </c>
      <c r="O33" s="2" t="str">
        <f>IF(C32&gt;42.49,('Assessment Matrix'!L4),P33)</f>
        <v xml:space="preserve">Some evidence of adequate reflection and evaluation through supporting work, such as notebooks, reports, worksheets, and subject specific records. </v>
      </c>
      <c r="P33" s="2" t="str">
        <f>IF(C32&gt;39.49,('Assessment Matrix'!M4),Q33)</f>
        <v>At the threshold of Honours, a number of significant shortcomings.</v>
      </c>
      <c r="Q33" s="2" t="str">
        <f>IF(C32&gt;30.49,('Assessment Matrix'!N4),R33)</f>
        <v xml:space="preserve">Deficiency or absence of evidence of visualisation and development through supporting work, such as notebooks, reports, worksheets and subject specific records. </v>
      </c>
      <c r="R33" s="2" t="str">
        <f>IF(C32&gt;-1,('Assessment Matrix'!O4),S33)</f>
        <v xml:space="preserve">Plagiarism </v>
      </c>
    </row>
    <row r="34" spans="1:18" ht="15" hidden="1" thickBot="1" x14ac:dyDescent="0.5">
      <c r="B34" t="s">
        <v>74</v>
      </c>
      <c r="C34" s="4">
        <v>50</v>
      </c>
      <c r="D34" s="1" t="str">
        <f>IF(C34&gt;84.5,"A+",F34)</f>
        <v>C-</v>
      </c>
      <c r="E34" s="2"/>
      <c r="F34" s="2" t="str">
        <f>IF(C34&gt;74.49,"A",G34)</f>
        <v>C-</v>
      </c>
      <c r="G34" s="2" t="str">
        <f>IF(C34&gt;69.49,"A-",H34)</f>
        <v>C-</v>
      </c>
      <c r="H34" s="2" t="str">
        <f>IF(C34&gt;66.49,"B+",I34)</f>
        <v>C-</v>
      </c>
      <c r="I34" s="2" t="str">
        <f>IF(C34&gt;62.49,"B",J34)</f>
        <v>C-</v>
      </c>
      <c r="J34" s="2" t="str">
        <f>IF(C34&gt;59.49,"B-",K34)</f>
        <v>C-</v>
      </c>
      <c r="K34" s="2" t="str">
        <f>IF(C34&gt;56.49,"C+",L34)</f>
        <v>C-</v>
      </c>
      <c r="L34" s="2" t="str">
        <f>IF(C34&gt;52.49,"C",M34)</f>
        <v>C-</v>
      </c>
      <c r="M34" s="2" t="str">
        <f>IF(C34&gt;49.49,"C-",N34)</f>
        <v>C-</v>
      </c>
      <c r="N34" s="2" t="str">
        <f>IF(C34&gt;46.49,"D+",O34)</f>
        <v>D+</v>
      </c>
      <c r="O34" s="2" t="str">
        <f>IF(C34&gt;42.49,"D",P34)</f>
        <v>D</v>
      </c>
      <c r="P34" s="2" t="str">
        <f>IF(C34&gt;39.49,"D-",Q34)</f>
        <v>D-</v>
      </c>
      <c r="Q34" s="2" t="str">
        <f>IF(C34&gt;30.49,"E",R34)</f>
        <v>E</v>
      </c>
      <c r="R34" s="2" t="str">
        <f>IF(C34&gt;-1,"F",S32)</f>
        <v>F</v>
      </c>
    </row>
    <row r="35" spans="1:18" ht="15" hidden="1" thickBot="1" x14ac:dyDescent="0.5">
      <c r="B35" t="s">
        <v>88</v>
      </c>
      <c r="C35" s="4"/>
      <c r="D35" s="1" t="str">
        <f>IF(C34&gt;84.5,('Assessment Matrix'!B5),F35)</f>
        <v>Sound, but with a number of shortcomings. Demonstrates C grade qualities but contains less critical analysis and little or no originality.</v>
      </c>
      <c r="E35" s="2"/>
      <c r="F35" s="2" t="str">
        <f>IF(C34&gt;74.49,('Assessment Matrix'!C5),G35)</f>
        <v>Sound, but with a number of shortcomings. Demonstrates C grade qualities but contains less critical analysis and little or no originality.</v>
      </c>
      <c r="G35" s="2" t="str">
        <f>IF(C34&gt;69.49,('Assessment Matrix'!D5),H35)</f>
        <v>Sound, but with a number of shortcomings. Demonstrates C grade qualities but contains less critical analysis and little or no originality.</v>
      </c>
      <c r="H35" s="2" t="str">
        <f>IF(C34&gt;66.49,('Assessment Matrix'!E5),I35)</f>
        <v>Sound, but with a number of shortcomings. Demonstrates C grade qualities but contains less critical analysis and little or no originality.</v>
      </c>
      <c r="I35" s="2" t="str">
        <f>IF(C34&gt;62.49,('Assessment Matrix'!F5),J35)</f>
        <v>Sound, but with a number of shortcomings. Demonstrates C grade qualities but contains less critical analysis and little or no originality.</v>
      </c>
      <c r="J35" s="2" t="str">
        <f>IF(C34&gt;59.49,('Assessment Matrix'!G5),K35)</f>
        <v>Sound, but with a number of shortcomings. Demonstrates C grade qualities but contains less critical analysis and little or no originality.</v>
      </c>
      <c r="K35" s="2" t="str">
        <f>IF(C34&gt;56.49,('Assessment Matrix'!H5),L35)</f>
        <v>Sound, but with a number of shortcomings. Demonstrates C grade qualities but contains less critical analysis and little or no originality.</v>
      </c>
      <c r="L35" s="2" t="str">
        <f>IF(C34&gt;52.49,('Assessment Matrix'!I5),M35)</f>
        <v>Sound, but with a number of shortcomings. Demonstrates C grade qualities but contains less critical analysis and little or no originality.</v>
      </c>
      <c r="M35" s="2" t="str">
        <f>IF(C34&gt;49.49,('Assessment Matrix'!J5),N35)</f>
        <v>Sound, but with a number of shortcomings. Demonstrates C grade qualities but contains less critical analysis and little or no originality.</v>
      </c>
      <c r="N35" s="2" t="str">
        <f>IF(C34&gt;46.49,('Assessment Matrix'!K5),O35)</f>
        <v>Fair standard, but with a number of shortcomings. Lacks sufficient analysis and interpretation to warrant a C grade.</v>
      </c>
      <c r="O35" s="2" t="str">
        <f>IF(C34&gt;42.49,('Assessment Matrix'!L5),P35)</f>
        <v>Incomplete or superficial evidence of idea generation.</v>
      </c>
      <c r="P35" s="2" t="str">
        <f>IF(C34&gt;39.49,('Assessment Matrix'!M5),Q35)</f>
        <v>At the threshold of Honours, a number of significant shortcomings.</v>
      </c>
      <c r="Q35" s="2" t="str">
        <f>IF(C34&gt;30.49,('Assessment Matrix'!N5),R35)</f>
        <v>Little or no back up work, or evidence of originality.</v>
      </c>
      <c r="R35" s="2" t="str">
        <f>IF(C34&gt;-1,('Assessment Matrix'!O5),S35)</f>
        <v>Incomplete submission.</v>
      </c>
    </row>
    <row r="36" spans="1:18" ht="15" hidden="1" thickBot="1" x14ac:dyDescent="0.5">
      <c r="B36" t="s">
        <v>4</v>
      </c>
      <c r="C36" s="4">
        <v>50</v>
      </c>
      <c r="D36" s="1" t="str">
        <f>IF(C36&gt;84.5,"A+",F36)</f>
        <v>C-</v>
      </c>
      <c r="E36" s="2"/>
      <c r="F36" s="2" t="str">
        <f>IF(C36&gt;74.49,"A",G36)</f>
        <v>C-</v>
      </c>
      <c r="G36" s="2" t="str">
        <f>IF(C36&gt;69.49,"A-",H36)</f>
        <v>C-</v>
      </c>
      <c r="H36" s="2" t="str">
        <f>IF(C36&gt;66.49,"B+",I36)</f>
        <v>C-</v>
      </c>
      <c r="I36" s="2" t="str">
        <f>IF(C36&gt;62.49,"B",J36)</f>
        <v>C-</v>
      </c>
      <c r="J36" s="2" t="str">
        <f>IF(C36&gt;59.49,"B-",K36)</f>
        <v>C-</v>
      </c>
      <c r="K36" s="2" t="str">
        <f>IF(C36&gt;56.49,"C+",L36)</f>
        <v>C-</v>
      </c>
      <c r="L36" s="2" t="str">
        <f>IF(C36&gt;52.49,"C",M36)</f>
        <v>C-</v>
      </c>
      <c r="M36" s="2" t="str">
        <f>IF(C36&gt;49.49,"C-",N36)</f>
        <v>C-</v>
      </c>
      <c r="N36" s="2" t="str">
        <f>IF(C36&gt;46.49,"D+",O36)</f>
        <v>D+</v>
      </c>
      <c r="O36" s="2" t="str">
        <f>IF(C36&gt;42.49,"D",P36)</f>
        <v>D</v>
      </c>
      <c r="P36" s="2" t="str">
        <f>IF(C36&gt;39.49,"D-",Q36)</f>
        <v>D-</v>
      </c>
      <c r="Q36" s="2" t="str">
        <f>IF(C36&gt;30.49,"E",R36)</f>
        <v>E</v>
      </c>
      <c r="R36" s="2" t="str">
        <f>IF(C36&gt;-1,"F",S33)</f>
        <v>F</v>
      </c>
    </row>
    <row r="37" spans="1:18" ht="15" hidden="1" thickBot="1" x14ac:dyDescent="0.5">
      <c r="B37" t="s">
        <v>89</v>
      </c>
      <c r="C37" s="4"/>
      <c r="D37" s="1" t="str">
        <f>IF(C36&gt;84.5,('Assessment Matrix'!B6),F37)</f>
        <v>Sound, but with a number of shortcomings. Demonstrates C grade qualities but contains less critical analysis and little or no originality.</v>
      </c>
      <c r="E37" s="2"/>
      <c r="F37" s="2" t="str">
        <f>IF(C36&gt;74.49,('Assessment Matrix'!C6),G37)</f>
        <v>Sound, but with a number of shortcomings. Demonstrates C grade qualities but contains less critical analysis and little or no originality.</v>
      </c>
      <c r="G37" s="2" t="str">
        <f>IF(C36&gt;69.49,('Assessment Matrix'!D6),H37)</f>
        <v>Sound, but with a number of shortcomings. Demonstrates C grade qualities but contains less critical analysis and little or no originality.</v>
      </c>
      <c r="H37" s="2" t="str">
        <f>IF(C36&gt;66.49,('Assessment Matrix'!E6),I37)</f>
        <v>Sound, but with a number of shortcomings. Demonstrates C grade qualities but contains less critical analysis and little or no originality.</v>
      </c>
      <c r="I37" s="2" t="str">
        <f>IF(C36&gt;62.49,('Assessment Matrix'!F6),J37)</f>
        <v>Sound, but with a number of shortcomings. Demonstrates C grade qualities but contains less critical analysis and little or no originality.</v>
      </c>
      <c r="J37" s="2" t="str">
        <f>IF(C36&gt;59.49,('Assessment Matrix'!G6),K37)</f>
        <v>Sound, but with a number of shortcomings. Demonstrates C grade qualities but contains less critical analysis and little or no originality.</v>
      </c>
      <c r="K37" s="2" t="str">
        <f>IF(C36&gt;56.49,('Assessment Matrix'!H6),L37)</f>
        <v>Sound, but with a number of shortcomings. Demonstrates C grade qualities but contains less critical analysis and little or no originality.</v>
      </c>
      <c r="L37" s="2" t="str">
        <f>IF(C36&gt;52.49,('Assessment Matrix'!I6),M37)</f>
        <v>Sound, but with a number of shortcomings. Demonstrates C grade qualities but contains less critical analysis and little or no originality.</v>
      </c>
      <c r="M37" s="2" t="str">
        <f>IF(C36&gt;49.49,('Assessment Matrix'!J6),N37)</f>
        <v>Sound, but with a number of shortcomings. Demonstrates C grade qualities but contains less critical analysis and little or no originality.</v>
      </c>
      <c r="N37" s="2" t="str">
        <f>IF(C36&gt;46.49,('Assessment Matrix'!K6),O37)</f>
        <v>Fair standard, but with a number of shortcomings. Lacks sufficient analysis and interpretation to warrant a C grade.</v>
      </c>
      <c r="O37" s="2" t="str">
        <f>IF(C36&gt;42.49,('Assessment Matrix'!L6),P37)</f>
        <v>Unresolved or incomplete execution of the finished work. Deficiencies in hand/technical skills. Doubtful or absent indications of success in achieving suitability of purpose. Some development in personal presentation skills still lacking.</v>
      </c>
      <c r="P37" s="2" t="str">
        <f>IF(C36&gt;39.49,('Assessment Matrix'!M6),Q37)</f>
        <v>At the threshold of Honours, a number of significant shortcomings.</v>
      </c>
      <c r="Q37" s="2" t="str">
        <f>IF(C36&gt;30.49,('Assessment Matrix'!N6),R37)</f>
        <v>Incomplete execution of the finished work. Poor standards in hand/technical skills. Failure to achieve a minimum level of suitability for purpose skills.</v>
      </c>
      <c r="R37" s="2" t="str">
        <f>IF(C36&gt;-1,('Assessment Matrix'!O6),S37)</f>
        <v>Unacceptable standards in hand/technical skills. Non/late submission of finished work, or failure to present work (zero mark).</v>
      </c>
    </row>
    <row r="38" spans="1:18" ht="15" hidden="1" thickBot="1" x14ac:dyDescent="0.5">
      <c r="B38" t="s">
        <v>75</v>
      </c>
      <c r="C38" s="4">
        <v>50</v>
      </c>
      <c r="D38" s="1" t="str">
        <f>IF(C38&gt;84.5,"A+",F38)</f>
        <v>C-</v>
      </c>
      <c r="E38" s="2"/>
      <c r="F38" s="2" t="str">
        <f>IF(C38&gt;74.49,"A",G38)</f>
        <v>C-</v>
      </c>
      <c r="G38" s="2" t="str">
        <f>IF(C38&gt;69.49,"A-",H38)</f>
        <v>C-</v>
      </c>
      <c r="H38" s="2" t="str">
        <f>IF(C38&gt;66.49,"B+",I38)</f>
        <v>C-</v>
      </c>
      <c r="I38" s="2" t="str">
        <f>IF(C38&gt;62.49,"B",J38)</f>
        <v>C-</v>
      </c>
      <c r="J38" s="2" t="str">
        <f>IF(C38&gt;59.49,"B-",K38)</f>
        <v>C-</v>
      </c>
      <c r="K38" s="2" t="str">
        <f>IF(C38&gt;56.49,"C+",L38)</f>
        <v>C-</v>
      </c>
      <c r="L38" s="2" t="str">
        <f>IF(C38&gt;52.49,"C",M38)</f>
        <v>C-</v>
      </c>
      <c r="M38" s="2" t="str">
        <f>IF(C38&gt;49.49,"C-",N38)</f>
        <v>C-</v>
      </c>
      <c r="N38" s="2" t="str">
        <f>IF(C38&gt;46.49,"D+",O38)</f>
        <v>D+</v>
      </c>
      <c r="O38" s="2" t="str">
        <f>IF(C38&gt;42.49,"D",P38)</f>
        <v>D</v>
      </c>
      <c r="P38" s="2" t="str">
        <f>IF(C38&gt;39.49,"D-",Q38)</f>
        <v>D-</v>
      </c>
      <c r="Q38" s="2" t="str">
        <f>IF(C38&gt;30.49,"E",R38)</f>
        <v>E</v>
      </c>
      <c r="R38" s="2" t="str">
        <f>IF(C38&gt;-1,"F",S34)</f>
        <v>F</v>
      </c>
    </row>
    <row r="39" spans="1:18" ht="15" hidden="1" thickBot="1" x14ac:dyDescent="0.5">
      <c r="B39" t="s">
        <v>90</v>
      </c>
      <c r="C39" s="4"/>
      <c r="D39" s="1" t="str">
        <f>IF(C38&gt;84.5,('Assessment Matrix'!B7),F39)</f>
        <v>Sound, but with a number of shortcomings. Demonstrates C grade qualities but contains less critical analysis and little or no originality.</v>
      </c>
      <c r="E39" s="2"/>
      <c r="F39" s="2" t="str">
        <f>IF(C38&gt;74.49,('Assessment Matrix'!C7),G39)</f>
        <v>Sound, but with a number of shortcomings. Demonstrates C grade qualities but contains less critical analysis and little or no originality.</v>
      </c>
      <c r="G39" s="2" t="str">
        <f>IF(C38&gt;69.49,('Assessment Matrix'!D7),H39)</f>
        <v>Sound, but with a number of shortcomings. Demonstrates C grade qualities but contains less critical analysis and little or no originality.</v>
      </c>
      <c r="H39" s="2" t="str">
        <f>IF(C38&gt;66.49,('Assessment Matrix'!E7),I39)</f>
        <v>Sound, but with a number of shortcomings. Demonstrates C grade qualities but contains less critical analysis and little or no originality.</v>
      </c>
      <c r="I39" s="2" t="str">
        <f>IF(C38&gt;62.49,('Assessment Matrix'!F7),J39)</f>
        <v>Sound, but with a number of shortcomings. Demonstrates C grade qualities but contains less critical analysis and little or no originality.</v>
      </c>
      <c r="J39" s="2" t="str">
        <f>IF(C38&gt;59.49,('Assessment Matrix'!G7),K39)</f>
        <v>Sound, but with a number of shortcomings. Demonstrates C grade qualities but contains less critical analysis and little or no originality.</v>
      </c>
      <c r="K39" s="2" t="str">
        <f>IF(C38&gt;56.49,('Assessment Matrix'!H7),L39)</f>
        <v>Sound, but with a number of shortcomings. Demonstrates C grade qualities but contains less critical analysis and little or no originality.</v>
      </c>
      <c r="L39" s="2" t="str">
        <f>IF(C38&gt;52.49,('Assessment Matrix'!I7),M39)</f>
        <v>Sound, but with a number of shortcomings. Demonstrates C grade qualities but contains less critical analysis and little or no originality.</v>
      </c>
      <c r="M39" s="2" t="str">
        <f>IF(C38&gt;49.49,('Assessment Matrix'!J7),N39)</f>
        <v>Sound, but with a number of shortcomings. Demonstrates C grade qualities but contains less critical analysis and little or no originality.</v>
      </c>
      <c r="N39" s="2" t="str">
        <f>IF(C38&gt;46.49,('Assessment Matrix'!K7),O39)</f>
        <v>Fair standard, but with a number of shortcomings. Lacks sufficient analysis and interpretation to warrant a C grade.</v>
      </c>
      <c r="O39" s="2" t="str">
        <f>IF(C38&gt;42.49,('Assessment Matrix'!L7),P39)</f>
        <v>A minimum level of understanding of design issues in the context of the brief or assignment, and deficient or fragmentary evidence of learning.</v>
      </c>
      <c r="P39" s="2" t="str">
        <f>IF(C38&gt;39.49,('Assessment Matrix'!M7),Q39)</f>
        <v>At the threshold of Honours, a number of significant shortcomings.</v>
      </c>
      <c r="Q39" s="2" t="str">
        <f>IF(C38&gt;30.49,('Assessment Matrix'!N7),R39)</f>
        <v>A poor understanding of the design issues in the context of the brief or assignment, and no substantial evidence of learning.</v>
      </c>
      <c r="R39" s="2" t="str">
        <f>IF(C38&gt;-1,('Assessment Matrix'!O7),S39)</f>
        <v>A very poor (or total lack of) understanding of the design issues in the context of the brief or assignment, and little evidence of learning.</v>
      </c>
    </row>
    <row r="40" spans="1:18" ht="14.65" x14ac:dyDescent="0.45">
      <c r="C40" s="4"/>
      <c r="D40" s="5"/>
      <c r="E40" s="2"/>
      <c r="F40" s="2"/>
      <c r="G40" s="2"/>
      <c r="H40" s="2"/>
      <c r="I40" s="2"/>
      <c r="J40" s="2"/>
      <c r="K40" s="2"/>
      <c r="L40" s="2"/>
      <c r="M40" s="2"/>
      <c r="N40" s="2"/>
      <c r="O40" s="2"/>
      <c r="P40" s="2"/>
      <c r="Q40" s="2"/>
      <c r="R40" s="2"/>
    </row>
    <row r="41" spans="1:18" ht="14.65" x14ac:dyDescent="0.45">
      <c r="A41" s="8" t="s">
        <v>82</v>
      </c>
      <c r="C41" s="4"/>
      <c r="D41" s="5"/>
      <c r="E41" s="2"/>
      <c r="F41" s="2"/>
      <c r="G41" s="2"/>
      <c r="H41" s="2"/>
      <c r="I41" s="2"/>
      <c r="J41" s="2"/>
      <c r="K41" s="2"/>
      <c r="L41" s="2"/>
      <c r="M41" s="2"/>
      <c r="N41" s="2"/>
      <c r="O41" s="2"/>
      <c r="P41" s="2"/>
      <c r="Q41" s="2"/>
      <c r="R41" s="2"/>
    </row>
    <row r="42" spans="1:18" ht="14.65" x14ac:dyDescent="0.45">
      <c r="C42" s="4"/>
      <c r="D42" s="5"/>
      <c r="E42" s="2"/>
      <c r="F42" s="2"/>
      <c r="G42" s="2"/>
      <c r="H42" s="2"/>
      <c r="I42" s="2"/>
      <c r="J42" s="2"/>
      <c r="K42" s="2"/>
      <c r="L42" s="2"/>
      <c r="M42" s="2"/>
      <c r="N42" s="2"/>
      <c r="O42" s="2"/>
      <c r="P42" s="2"/>
      <c r="Q42" s="2"/>
      <c r="R42" s="2"/>
    </row>
    <row r="43" spans="1:18" x14ac:dyDescent="0.45">
      <c r="C43" s="4"/>
    </row>
    <row r="55" spans="1:18" x14ac:dyDescent="0.45">
      <c r="A55" s="8" t="s">
        <v>2</v>
      </c>
    </row>
    <row r="58" spans="1:18" ht="14.65" hidden="1" thickBot="1" x14ac:dyDescent="0.5">
      <c r="A58" s="8" t="s">
        <v>82</v>
      </c>
    </row>
    <row r="59" spans="1:18" ht="15" hidden="1" thickBot="1" x14ac:dyDescent="0.5">
      <c r="A59" s="8" t="s">
        <v>2</v>
      </c>
      <c r="B59" t="s">
        <v>2</v>
      </c>
      <c r="C59" s="4">
        <f>AVERAGE(C61,C63,C65,C67,C69)</f>
        <v>50</v>
      </c>
      <c r="D59" s="1" t="str">
        <f>IF(C59&gt;84.5,"A+",F59)</f>
        <v>C-</v>
      </c>
      <c r="E59" s="2"/>
      <c r="F59" s="2" t="str">
        <f>IF(C59&gt;74.49,"A",G59)</f>
        <v>C-</v>
      </c>
      <c r="G59" s="2" t="str">
        <f>IF(C59&gt;69.49,"A-",H59)</f>
        <v>C-</v>
      </c>
      <c r="H59" s="2" t="str">
        <f>IF(C59&gt;66.49,"B+",I59)</f>
        <v>C-</v>
      </c>
      <c r="I59" s="2" t="str">
        <f>IF(C59&gt;62.49,"B",J59)</f>
        <v>C-</v>
      </c>
      <c r="J59" s="2" t="str">
        <f>IF(C59&gt;59.49,"B-",K59)</f>
        <v>C-</v>
      </c>
      <c r="K59" s="2" t="str">
        <f>IF(C59&gt;56.49,"C+",L59)</f>
        <v>C-</v>
      </c>
      <c r="L59" s="2" t="str">
        <f>IF(C59&gt;52.49,"C",M59)</f>
        <v>C-</v>
      </c>
      <c r="M59" s="2" t="str">
        <f>IF(C59&gt;49.49,"C-",N59)</f>
        <v>C-</v>
      </c>
      <c r="N59" s="2" t="str">
        <f>IF(C59&gt;46.49,"D+",O59)</f>
        <v>D+</v>
      </c>
      <c r="O59" s="2" t="str">
        <f>IF(C59&gt;42.49,"D",P59)</f>
        <v>D</v>
      </c>
      <c r="P59" s="2" t="str">
        <f>IF(C59&gt;39.49,"D-",Q59)</f>
        <v>D-</v>
      </c>
      <c r="Q59" s="2" t="str">
        <f>IF(C59&gt;30.49,"E",R59)</f>
        <v>E</v>
      </c>
      <c r="R59" s="2" t="str">
        <f>IF(C59&gt;-1,"F",S59)</f>
        <v>F</v>
      </c>
    </row>
    <row r="60" spans="1:18" ht="15" hidden="1" thickBot="1" x14ac:dyDescent="0.5">
      <c r="B60" t="s">
        <v>71</v>
      </c>
      <c r="C60" s="4">
        <v>15</v>
      </c>
      <c r="D60" s="1" t="str">
        <f>IF(C59&gt;84.5,('Assessment Matrix'!B2),F60)</f>
        <v>Sound, but with a number of shortcomings. Demonstrates C grade qualities but contains less critical analysis and little or no originality.</v>
      </c>
      <c r="E60" s="2"/>
      <c r="F60" s="2" t="str">
        <f>IF(C59&gt;74.49,('Assessment Matrix'!C2),G60)</f>
        <v>Sound, but with a number of shortcomings. Demonstrates C grade qualities but contains less critical analysis and little or no originality.</v>
      </c>
      <c r="G60" s="2" t="str">
        <f>IF(C59&gt;69.49,('Assessment Matrix'!D2),H60)</f>
        <v>Sound, but with a number of shortcomings. Demonstrates C grade qualities but contains less critical analysis and little or no originality.</v>
      </c>
      <c r="H60" s="2" t="str">
        <f>IF(C59&gt;66.49,('Assessment Matrix'!E2),I60)</f>
        <v>Sound, but with a number of shortcomings. Demonstrates C grade qualities but contains less critical analysis and little or no originality.</v>
      </c>
      <c r="I60" s="2" t="str">
        <f>IF(C59&gt;62.49,('Assessment Matrix'!F2),J60)</f>
        <v>Sound, but with a number of shortcomings. Demonstrates C grade qualities but contains less critical analysis and little or no originality.</v>
      </c>
      <c r="J60" s="2" t="str">
        <f>IF(C59&gt;59.49,('Assessment Matrix'!G2),K60)</f>
        <v>Sound, but with a number of shortcomings. Demonstrates C grade qualities but contains less critical analysis and little or no originality.</v>
      </c>
      <c r="K60" s="2" t="str">
        <f>IF(C59&gt;56.49,('Assessment Matrix'!H2),L60)</f>
        <v>Sound, but with a number of shortcomings. Demonstrates C grade qualities but contains less critical analysis and little or no originality.</v>
      </c>
      <c r="L60" s="2" t="str">
        <f>IF(C59&gt;52.49,('Assessment Matrix'!I2),M60)</f>
        <v>Sound, but with a number of shortcomings. Demonstrates C grade qualities but contains less critical analysis and little or no originality.</v>
      </c>
      <c r="M60" s="2" t="str">
        <f>IF(C59&gt;49.49,('Assessment Matrix'!J2),N60)</f>
        <v>Sound, but with a number of shortcomings. Demonstrates C grade qualities but contains less critical analysis and little or no originality.</v>
      </c>
      <c r="N60" s="2" t="str">
        <f>IF(C59&gt;46.49,('Assessment Matrix'!K2),O60)</f>
        <v>Fair standard, but with a number of shortcomings. Lacks sufficient analysis and interpretation to warrant a C grade.</v>
      </c>
      <c r="O60" s="2" t="str">
        <f>IF(C59&gt;42.49,('Assessment Matrix'!L2),P60)</f>
        <v xml:space="preserve">Substantially achieved but with inadequate learning experiences and/or identified weaknesses in understanding and application within the module. Limited or deficient </v>
      </c>
      <c r="P60" s="2" t="str">
        <f>IF(C59&gt;39.49,('Assessment Matrix'!M2),Q60)</f>
        <v>At the threshold of Honours, a number of significant shortcomings.</v>
      </c>
      <c r="Q60" s="2" t="str">
        <f>IF(C59&gt;30.49,('Assessment Matrix'!N2),R60)</f>
        <v>Poor skills acquisition and/or use during the module. The learning outcomes not achieved, and with an inadequate or no learning experience.</v>
      </c>
      <c r="R60" s="2" t="str">
        <f>IF(C59&gt;-1,('Assessment Matrix'!O2),S60)</f>
        <v>Little or no skills acquisition and/or use in the module</v>
      </c>
    </row>
    <row r="61" spans="1:18" ht="15.75" hidden="1" thickBot="1" x14ac:dyDescent="0.5">
      <c r="B61" t="s">
        <v>0</v>
      </c>
      <c r="C61" s="9">
        <v>50</v>
      </c>
      <c r="D61" s="1" t="str">
        <f>IF(C61&gt;84.5,"A+",F61)</f>
        <v>C-</v>
      </c>
      <c r="E61" s="2"/>
      <c r="F61" s="2" t="str">
        <f>IF(C61&gt;74.49,"A",G61)</f>
        <v>C-</v>
      </c>
      <c r="G61" s="2" t="str">
        <f>IF(C61&gt;69.49,"A-",H61)</f>
        <v>C-</v>
      </c>
      <c r="H61" s="2" t="str">
        <f>IF(C61&gt;66.49,"B+",I61)</f>
        <v>C-</v>
      </c>
      <c r="I61" s="2" t="str">
        <f>IF(C61&gt;62.49,"B",J61)</f>
        <v>C-</v>
      </c>
      <c r="J61" s="2" t="str">
        <f>IF(C61&gt;59.49,"B-",K61)</f>
        <v>C-</v>
      </c>
      <c r="K61" s="2" t="str">
        <f>IF(C61&gt;56.49,"C+",L61)</f>
        <v>C-</v>
      </c>
      <c r="L61" s="2" t="str">
        <f>IF(C61&gt;52.49,"C",M61)</f>
        <v>C-</v>
      </c>
      <c r="M61" s="2" t="str">
        <f>IF(C61&gt;49.49,"C-",N61)</f>
        <v>C-</v>
      </c>
      <c r="N61" s="2" t="str">
        <f>IF(C61&gt;46.49,"D+",O61)</f>
        <v>D+</v>
      </c>
      <c r="O61" s="2" t="str">
        <f>IF(C61&gt;42.49,"D",P61)</f>
        <v>D</v>
      </c>
      <c r="P61" s="2" t="str">
        <f>IF(C61&gt;39.49,"D-",Q61)</f>
        <v>D-</v>
      </c>
      <c r="Q61" s="2" t="str">
        <f>IF(C61&gt;30.49,"E",R61)</f>
        <v>E</v>
      </c>
      <c r="R61" s="2" t="str">
        <f>IF(C61&gt;-1,"F",S61)</f>
        <v>F</v>
      </c>
    </row>
    <row r="62" spans="1:18" ht="15" hidden="1" thickBot="1" x14ac:dyDescent="0.5">
      <c r="B62" t="s">
        <v>86</v>
      </c>
      <c r="C62" s="4"/>
      <c r="D62" s="1" t="str">
        <f>IF(C61&gt;84.5,('Assessment Matrix'!B3),F62)</f>
        <v>Sound, but with a number of shortcomings. Demonstrates C grade qualities but contains less critical analysis and little or no originality.</v>
      </c>
      <c r="E62" s="2"/>
      <c r="F62" s="2" t="str">
        <f>IF(C61&gt;74.49,('Assessment Matrix'!C3),G62)</f>
        <v>Sound, but with a number of shortcomings. Demonstrates C grade qualities but contains less critical analysis and little or no originality.</v>
      </c>
      <c r="G62" s="2" t="str">
        <f>IF(C61&gt;69.49,('Assessment Matrix'!D3),H62)</f>
        <v>Sound, but with a number of shortcomings. Demonstrates C grade qualities but contains less critical analysis and little or no originality.</v>
      </c>
      <c r="H62" s="2" t="str">
        <f>IF(C61&gt;66.49,('Assessment Matrix'!E3),I62)</f>
        <v>Sound, but with a number of shortcomings. Demonstrates C grade qualities but contains less critical analysis and little or no originality.</v>
      </c>
      <c r="I62" s="2" t="str">
        <f>IF(C61&gt;62.49,('Assessment Matrix'!F3),J62)</f>
        <v>Sound, but with a number of shortcomings. Demonstrates C grade qualities but contains less critical analysis and little or no originality.</v>
      </c>
      <c r="J62" s="2" t="str">
        <f>IF(C61&gt;59.49,('Assessment Matrix'!G3),K62)</f>
        <v>Sound, but with a number of shortcomings. Demonstrates C grade qualities but contains less critical analysis and little or no originality.</v>
      </c>
      <c r="K62" s="2" t="str">
        <f>IF(C61&gt;56.49,('Assessment Matrix'!H3),L62)</f>
        <v>Sound, but with a number of shortcomings. Demonstrates C grade qualities but contains less critical analysis and little or no originality.</v>
      </c>
      <c r="L62" s="2" t="str">
        <f>IF(C61&gt;52.49,('Assessment Matrix'!I3),M62)</f>
        <v>Sound, but with a number of shortcomings. Demonstrates C grade qualities but contains less critical analysis and little or no originality.</v>
      </c>
      <c r="M62" s="2" t="str">
        <f>IF(C61&gt;49.49,('Assessment Matrix'!J3),N62)</f>
        <v>Sound, but with a number of shortcomings. Demonstrates C grade qualities but contains less critical analysis and little or no originality.</v>
      </c>
      <c r="N62" s="2" t="str">
        <f>IF(C61&gt;46.49,('Assessment Matrix'!K3),O62)</f>
        <v>Fair standard, but with a number of shortcomings. Lacks sufficient analysis and interpretation to warrant a C grade.</v>
      </c>
      <c r="O62" s="2" t="str">
        <f>IF(C61&gt;42.49,('Assessment Matrix'!L3),P62)</f>
        <v xml:space="preserve">Some evidence of research and preparation, its use and reaction to it, but which may have constricted the creative output. Minimal documentation of research and evidence </v>
      </c>
      <c r="P62" s="2" t="str">
        <f>IF(C61&gt;39.49,('Assessment Matrix'!M3),Q62)</f>
        <v>At the threshold of Honours, a number of significant shortcomings.</v>
      </c>
      <c r="Q62" s="2" t="str">
        <f>IF(C61&gt;30.49,('Assessment Matrix'!N3),R62)</f>
        <v>Little or no evidence of any appropriate research and preparation, or of its use and reaction to it. Inadequate initiative. Little or no documentation of research.</v>
      </c>
      <c r="R62" s="2" t="str">
        <f>IF(C61&gt;-1,('Assessment Matrix'!O3),S62)</f>
        <v>No evidence of appropriate initiative. Failure to undertake research and preparation detailed in either the assignment or module documentation.</v>
      </c>
    </row>
    <row r="63" spans="1:18" ht="15" hidden="1" thickBot="1" x14ac:dyDescent="0.5">
      <c r="B63" t="s">
        <v>73</v>
      </c>
      <c r="C63" s="4">
        <v>50</v>
      </c>
      <c r="D63" s="1" t="str">
        <f>IF(C63&gt;84.5,"A+",F63)</f>
        <v>C-</v>
      </c>
      <c r="E63" s="2"/>
      <c r="F63" s="2" t="str">
        <f>IF(C63&gt;74.49,"A",G63)</f>
        <v>C-</v>
      </c>
      <c r="G63" s="2" t="str">
        <f>IF(C63&gt;69.49,"A-",H63)</f>
        <v>C-</v>
      </c>
      <c r="H63" s="2" t="str">
        <f>IF(C63&gt;66.49,"B+",I63)</f>
        <v>C-</v>
      </c>
      <c r="I63" s="2" t="str">
        <f>IF(C63&gt;62.49,"B",J63)</f>
        <v>C-</v>
      </c>
      <c r="J63" s="2" t="str">
        <f>IF(C63&gt;59.49,"B-",K63)</f>
        <v>C-</v>
      </c>
      <c r="K63" s="2" t="str">
        <f>IF(C63&gt;56.49,"C+",L63)</f>
        <v>C-</v>
      </c>
      <c r="L63" s="2" t="str">
        <f>IF(C63&gt;52.49,"C",M63)</f>
        <v>C-</v>
      </c>
      <c r="M63" s="2" t="str">
        <f>IF(C63&gt;49.49,"C-",N63)</f>
        <v>C-</v>
      </c>
      <c r="N63" s="2" t="str">
        <f>IF(C63&gt;46.49,"D+",O63)</f>
        <v>D+</v>
      </c>
      <c r="O63" s="2" t="str">
        <f>IF(C63&gt;42.49,"D",P63)</f>
        <v>D</v>
      </c>
      <c r="P63" s="2" t="str">
        <f>IF(C63&gt;39.49,"D-",Q63)</f>
        <v>D-</v>
      </c>
      <c r="Q63" s="2" t="str">
        <f>IF(C63&gt;30.49,"E",R63)</f>
        <v>E</v>
      </c>
      <c r="R63" s="2" t="str">
        <f>IF(C63&gt;-1,"F",S62)</f>
        <v>F</v>
      </c>
    </row>
    <row r="64" spans="1:18" ht="15" hidden="1" thickBot="1" x14ac:dyDescent="0.5">
      <c r="B64" t="s">
        <v>87</v>
      </c>
      <c r="C64" s="4"/>
      <c r="D64" s="1" t="str">
        <f>IF(C63&gt;84.5,('Assessment Matrix'!B4),F64)</f>
        <v>Sound, but with a number of shortcomings. Demonstrates C grade qualities but contains less critical analysis and little or no originality.</v>
      </c>
      <c r="E64" s="2"/>
      <c r="F64" s="2" t="str">
        <f>IF(C63&gt;74.49,('Assessment Matrix'!C4),G64)</f>
        <v>Sound, but with a number of shortcomings. Demonstrates C grade qualities but contains less critical analysis and little or no originality.</v>
      </c>
      <c r="G64" s="2" t="str">
        <f>IF(C63&gt;69.49,('Assessment Matrix'!D4),H64)</f>
        <v>Sound, but with a number of shortcomings. Demonstrates C grade qualities but contains less critical analysis and little or no originality.</v>
      </c>
      <c r="H64" s="2" t="str">
        <f>IF(C63&gt;66.49,('Assessment Matrix'!E4),I64)</f>
        <v>Sound, but with a number of shortcomings. Demonstrates C grade qualities but contains less critical analysis and little or no originality.</v>
      </c>
      <c r="I64" s="2" t="str">
        <f>IF(C63&gt;62.49,('Assessment Matrix'!F4),J64)</f>
        <v>Sound, but with a number of shortcomings. Demonstrates C grade qualities but contains less critical analysis and little or no originality.</v>
      </c>
      <c r="J64" s="2" t="str">
        <f>IF(C63&gt;59.49,('Assessment Matrix'!G4),K64)</f>
        <v>Sound, but with a number of shortcomings. Demonstrates C grade qualities but contains less critical analysis and little or no originality.</v>
      </c>
      <c r="K64" s="2" t="str">
        <f>IF(C63&gt;56.49,('Assessment Matrix'!H4),L64)</f>
        <v>Sound, but with a number of shortcomings. Demonstrates C grade qualities but contains less critical analysis and little or no originality.</v>
      </c>
      <c r="L64" s="2" t="str">
        <f>IF(C63&gt;52.49,('Assessment Matrix'!I4),M64)</f>
        <v>Sound, but with a number of shortcomings. Demonstrates C grade qualities but contains less critical analysis and little or no originality.</v>
      </c>
      <c r="M64" s="2" t="str">
        <f>IF(C63&gt;49.49,('Assessment Matrix'!J4),N64)</f>
        <v>Sound, but with a number of shortcomings. Demonstrates C grade qualities but contains less critical analysis and little or no originality.</v>
      </c>
      <c r="N64" s="2" t="str">
        <f>IF(C63&gt;46.49,('Assessment Matrix'!K4),O64)</f>
        <v>Fair standard, but with a number of shortcomings. Lacks sufficient analysis and interpretation to warrant a C grade.</v>
      </c>
      <c r="O64" s="2" t="str">
        <f>IF(C63&gt;42.49,('Assessment Matrix'!L4),P64)</f>
        <v xml:space="preserve">Some evidence of adequate reflection and evaluation through supporting work, such as notebooks, reports, worksheets, and subject specific records. </v>
      </c>
      <c r="P64" s="2" t="str">
        <f>IF(C63&gt;39.49,('Assessment Matrix'!M4),Q64)</f>
        <v>At the threshold of Honours, a number of significant shortcomings.</v>
      </c>
      <c r="Q64" s="2" t="str">
        <f>IF(C63&gt;30.49,('Assessment Matrix'!N4),R64)</f>
        <v xml:space="preserve">Deficiency or absence of evidence of visualisation and development through supporting work, such as notebooks, reports, worksheets and subject specific records. </v>
      </c>
      <c r="R64" s="2" t="str">
        <f>IF(C63&gt;-1,('Assessment Matrix'!O4),S64)</f>
        <v xml:space="preserve">Plagiarism </v>
      </c>
    </row>
    <row r="65" spans="2:18" ht="15" hidden="1" thickBot="1" x14ac:dyDescent="0.5">
      <c r="B65" t="s">
        <v>74</v>
      </c>
      <c r="C65" s="4">
        <v>50</v>
      </c>
      <c r="D65" s="1" t="str">
        <f>IF(C65&gt;84.5,"A+",F65)</f>
        <v>C-</v>
      </c>
      <c r="E65" s="2"/>
      <c r="F65" s="2" t="str">
        <f>IF(C65&gt;74.49,"A",G65)</f>
        <v>C-</v>
      </c>
      <c r="G65" s="2" t="str">
        <f>IF(C65&gt;69.49,"A-",H65)</f>
        <v>C-</v>
      </c>
      <c r="H65" s="2" t="str">
        <f>IF(C65&gt;66.49,"B+",I65)</f>
        <v>C-</v>
      </c>
      <c r="I65" s="2" t="str">
        <f>IF(C65&gt;62.49,"B",J65)</f>
        <v>C-</v>
      </c>
      <c r="J65" s="2" t="str">
        <f>IF(C65&gt;59.49,"B-",K65)</f>
        <v>C-</v>
      </c>
      <c r="K65" s="2" t="str">
        <f>IF(C65&gt;56.49,"C+",L65)</f>
        <v>C-</v>
      </c>
      <c r="L65" s="2" t="str">
        <f>IF(C65&gt;52.49,"C",M65)</f>
        <v>C-</v>
      </c>
      <c r="M65" s="2" t="str">
        <f>IF(C65&gt;49.49,"C-",N65)</f>
        <v>C-</v>
      </c>
      <c r="N65" s="2" t="str">
        <f>IF(C65&gt;46.49,"D+",O65)</f>
        <v>D+</v>
      </c>
      <c r="O65" s="2" t="str">
        <f>IF(C65&gt;42.49,"D",P65)</f>
        <v>D</v>
      </c>
      <c r="P65" s="2" t="str">
        <f>IF(C65&gt;39.49,"D-",Q65)</f>
        <v>D-</v>
      </c>
      <c r="Q65" s="2" t="str">
        <f>IF(C65&gt;30.49,"E",R65)</f>
        <v>E</v>
      </c>
      <c r="R65" s="2" t="str">
        <f>IF(C65&gt;-1,"F",S63)</f>
        <v>F</v>
      </c>
    </row>
    <row r="66" spans="2:18" ht="15" hidden="1" thickBot="1" x14ac:dyDescent="0.5">
      <c r="B66" t="s">
        <v>88</v>
      </c>
      <c r="C66" s="4"/>
      <c r="D66" s="1" t="str">
        <f>IF(C65&gt;84.5,('Assessment Matrix'!B5),F66)</f>
        <v>Sound, but with a number of shortcomings. Demonstrates C grade qualities but contains less critical analysis and little or no originality.</v>
      </c>
      <c r="E66" s="2"/>
      <c r="F66" s="2" t="str">
        <f>IF(C65&gt;74.49,('Assessment Matrix'!C5),G66)</f>
        <v>Sound, but with a number of shortcomings. Demonstrates C grade qualities but contains less critical analysis and little or no originality.</v>
      </c>
      <c r="G66" s="2" t="str">
        <f>IF(C65&gt;69.49,('Assessment Matrix'!D5),H66)</f>
        <v>Sound, but with a number of shortcomings. Demonstrates C grade qualities but contains less critical analysis and little or no originality.</v>
      </c>
      <c r="H66" s="2" t="str">
        <f>IF(C65&gt;66.49,('Assessment Matrix'!E5),I66)</f>
        <v>Sound, but with a number of shortcomings. Demonstrates C grade qualities but contains less critical analysis and little or no originality.</v>
      </c>
      <c r="I66" s="2" t="str">
        <f>IF(C65&gt;62.49,('Assessment Matrix'!F5),J66)</f>
        <v>Sound, but with a number of shortcomings. Demonstrates C grade qualities but contains less critical analysis and little or no originality.</v>
      </c>
      <c r="J66" s="2" t="str">
        <f>IF(C65&gt;59.49,('Assessment Matrix'!G5),K66)</f>
        <v>Sound, but with a number of shortcomings. Demonstrates C grade qualities but contains less critical analysis and little or no originality.</v>
      </c>
      <c r="K66" s="2" t="str">
        <f>IF(C65&gt;56.49,('Assessment Matrix'!H5),L66)</f>
        <v>Sound, but with a number of shortcomings. Demonstrates C grade qualities but contains less critical analysis and little or no originality.</v>
      </c>
      <c r="L66" s="2" t="str">
        <f>IF(C65&gt;52.49,('Assessment Matrix'!I5),M66)</f>
        <v>Sound, but with a number of shortcomings. Demonstrates C grade qualities but contains less critical analysis and little or no originality.</v>
      </c>
      <c r="M66" s="2" t="str">
        <f>IF(C65&gt;49.49,('Assessment Matrix'!J5),N66)</f>
        <v>Sound, but with a number of shortcomings. Demonstrates C grade qualities but contains less critical analysis and little or no originality.</v>
      </c>
      <c r="N66" s="2" t="str">
        <f>IF(C65&gt;46.49,('Assessment Matrix'!K5),O66)</f>
        <v>Fair standard, but with a number of shortcomings. Lacks sufficient analysis and interpretation to warrant a C grade.</v>
      </c>
      <c r="O66" s="2" t="str">
        <f>IF(C65&gt;42.49,('Assessment Matrix'!L5),P66)</f>
        <v>Incomplete or superficial evidence of idea generation.</v>
      </c>
      <c r="P66" s="2" t="str">
        <f>IF(C65&gt;39.49,('Assessment Matrix'!M5),Q66)</f>
        <v>At the threshold of Honours, a number of significant shortcomings.</v>
      </c>
      <c r="Q66" s="2" t="str">
        <f>IF(C65&gt;30.49,('Assessment Matrix'!N5),R66)</f>
        <v>Little or no back up work, or evidence of originality.</v>
      </c>
      <c r="R66" s="2" t="str">
        <f>IF(C65&gt;-1,('Assessment Matrix'!O5),S66)</f>
        <v>Incomplete submission.</v>
      </c>
    </row>
    <row r="67" spans="2:18" ht="15" hidden="1" thickBot="1" x14ac:dyDescent="0.5">
      <c r="B67" t="s">
        <v>4</v>
      </c>
      <c r="C67" s="4">
        <v>50</v>
      </c>
      <c r="D67" s="1" t="str">
        <f>IF(C67&gt;84.5,"A+",F67)</f>
        <v>C-</v>
      </c>
      <c r="E67" s="2"/>
      <c r="F67" s="2" t="str">
        <f>IF(C67&gt;74.49,"A",G67)</f>
        <v>C-</v>
      </c>
      <c r="G67" s="2" t="str">
        <f>IF(C67&gt;69.49,"A-",H67)</f>
        <v>C-</v>
      </c>
      <c r="H67" s="2" t="str">
        <f>IF(C67&gt;66.49,"B+",I67)</f>
        <v>C-</v>
      </c>
      <c r="I67" s="2" t="str">
        <f>IF(C67&gt;62.49,"B",J67)</f>
        <v>C-</v>
      </c>
      <c r="J67" s="2" t="str">
        <f>IF(C67&gt;59.49,"B-",K67)</f>
        <v>C-</v>
      </c>
      <c r="K67" s="2" t="str">
        <f>IF(C67&gt;56.49,"C+",L67)</f>
        <v>C-</v>
      </c>
      <c r="L67" s="2" t="str">
        <f>IF(C67&gt;52.49,"C",M67)</f>
        <v>C-</v>
      </c>
      <c r="M67" s="2" t="str">
        <f>IF(C67&gt;49.49,"C-",N67)</f>
        <v>C-</v>
      </c>
      <c r="N67" s="2" t="str">
        <f>IF(C67&gt;46.49,"D+",O67)</f>
        <v>D+</v>
      </c>
      <c r="O67" s="2" t="str">
        <f>IF(C67&gt;42.49,"D",P67)</f>
        <v>D</v>
      </c>
      <c r="P67" s="2" t="str">
        <f>IF(C67&gt;39.49,"D-",Q67)</f>
        <v>D-</v>
      </c>
      <c r="Q67" s="2" t="str">
        <f>IF(C67&gt;30.49,"E",R67)</f>
        <v>E</v>
      </c>
      <c r="R67" s="2" t="str">
        <f>IF(C67&gt;-1,"F",S64)</f>
        <v>F</v>
      </c>
    </row>
    <row r="68" spans="2:18" ht="15" hidden="1" thickBot="1" x14ac:dyDescent="0.5">
      <c r="B68" t="s">
        <v>89</v>
      </c>
      <c r="C68" s="4"/>
      <c r="D68" s="1" t="str">
        <f>IF(C67&gt;84.5,('Assessment Matrix'!B6),F68)</f>
        <v>Sound, but with a number of shortcomings. Demonstrates C grade qualities but contains less critical analysis and little or no originality.</v>
      </c>
      <c r="E68" s="2"/>
      <c r="F68" s="2" t="str">
        <f>IF(C67&gt;74.49,('Assessment Matrix'!C6),G68)</f>
        <v>Sound, but with a number of shortcomings. Demonstrates C grade qualities but contains less critical analysis and little or no originality.</v>
      </c>
      <c r="G68" s="2" t="str">
        <f>IF(C67&gt;69.49,('Assessment Matrix'!D6),H68)</f>
        <v>Sound, but with a number of shortcomings. Demonstrates C grade qualities but contains less critical analysis and little or no originality.</v>
      </c>
      <c r="H68" s="2" t="str">
        <f>IF(C67&gt;66.49,('Assessment Matrix'!E6),I68)</f>
        <v>Sound, but with a number of shortcomings. Demonstrates C grade qualities but contains less critical analysis and little or no originality.</v>
      </c>
      <c r="I68" s="2" t="str">
        <f>IF(C67&gt;62.49,('Assessment Matrix'!F6),J68)</f>
        <v>Sound, but with a number of shortcomings. Demonstrates C grade qualities but contains less critical analysis and little or no originality.</v>
      </c>
      <c r="J68" s="2" t="str">
        <f>IF(C67&gt;59.49,('Assessment Matrix'!G6),K68)</f>
        <v>Sound, but with a number of shortcomings. Demonstrates C grade qualities but contains less critical analysis and little or no originality.</v>
      </c>
      <c r="K68" s="2" t="str">
        <f>IF(C67&gt;56.49,('Assessment Matrix'!H6),L68)</f>
        <v>Sound, but with a number of shortcomings. Demonstrates C grade qualities but contains less critical analysis and little or no originality.</v>
      </c>
      <c r="L68" s="2" t="str">
        <f>IF(C67&gt;52.49,('Assessment Matrix'!I6),M68)</f>
        <v>Sound, but with a number of shortcomings. Demonstrates C grade qualities but contains less critical analysis and little or no originality.</v>
      </c>
      <c r="M68" s="2" t="str">
        <f>IF(C67&gt;49.49,('Assessment Matrix'!J6),N68)</f>
        <v>Sound, but with a number of shortcomings. Demonstrates C grade qualities but contains less critical analysis and little or no originality.</v>
      </c>
      <c r="N68" s="2" t="str">
        <f>IF(C67&gt;46.49,('Assessment Matrix'!K6),O68)</f>
        <v>Fair standard, but with a number of shortcomings. Lacks sufficient analysis and interpretation to warrant a C grade.</v>
      </c>
      <c r="O68" s="2" t="str">
        <f>IF(C67&gt;42.49,('Assessment Matrix'!L6),P68)</f>
        <v>Unresolved or incomplete execution of the finished work. Deficiencies in hand/technical skills. Doubtful or absent indications of success in achieving suitability of purpose. Some development in personal presentation skills still lacking.</v>
      </c>
      <c r="P68" s="2" t="str">
        <f>IF(C67&gt;39.49,('Assessment Matrix'!M6),Q68)</f>
        <v>At the threshold of Honours, a number of significant shortcomings.</v>
      </c>
      <c r="Q68" s="2" t="str">
        <f>IF(C67&gt;30.49,('Assessment Matrix'!N6),R68)</f>
        <v>Incomplete execution of the finished work. Poor standards in hand/technical skills. Failure to achieve a minimum level of suitability for purpose skills.</v>
      </c>
      <c r="R68" s="2" t="str">
        <f>IF(C67&gt;-1,('Assessment Matrix'!O6),S68)</f>
        <v>Unacceptable standards in hand/technical skills. Non/late submission of finished work, or failure to present work (zero mark).</v>
      </c>
    </row>
    <row r="69" spans="2:18" ht="15" hidden="1" thickBot="1" x14ac:dyDescent="0.5">
      <c r="B69" t="s">
        <v>75</v>
      </c>
      <c r="C69" s="4">
        <v>50</v>
      </c>
      <c r="D69" s="1" t="str">
        <f>IF(C69&gt;84.5,"A+",F69)</f>
        <v>C-</v>
      </c>
      <c r="E69" s="2"/>
      <c r="F69" s="2" t="str">
        <f>IF(C69&gt;74.49,"A",G69)</f>
        <v>C-</v>
      </c>
      <c r="G69" s="2" t="str">
        <f>IF(C69&gt;69.49,"A-",H69)</f>
        <v>C-</v>
      </c>
      <c r="H69" s="2" t="str">
        <f>IF(C69&gt;66.49,"B+",I69)</f>
        <v>C-</v>
      </c>
      <c r="I69" s="2" t="str">
        <f>IF(C69&gt;62.49,"B",J69)</f>
        <v>C-</v>
      </c>
      <c r="J69" s="2" t="str">
        <f>IF(C69&gt;59.49,"B-",K69)</f>
        <v>C-</v>
      </c>
      <c r="K69" s="2" t="str">
        <f>IF(C69&gt;56.49,"C+",L69)</f>
        <v>C-</v>
      </c>
      <c r="L69" s="2" t="str">
        <f>IF(C69&gt;52.49,"C",M69)</f>
        <v>C-</v>
      </c>
      <c r="M69" s="2" t="str">
        <f>IF(C69&gt;49.49,"C-",N69)</f>
        <v>C-</v>
      </c>
      <c r="N69" s="2" t="str">
        <f>IF(C69&gt;46.49,"D+",O69)</f>
        <v>D+</v>
      </c>
      <c r="O69" s="2" t="str">
        <f>IF(C69&gt;42.49,"D",P69)</f>
        <v>D</v>
      </c>
      <c r="P69" s="2" t="str">
        <f>IF(C69&gt;39.49,"D-",Q69)</f>
        <v>D-</v>
      </c>
      <c r="Q69" s="2" t="str">
        <f>IF(C69&gt;30.49,"E",R69)</f>
        <v>E</v>
      </c>
      <c r="R69" s="2" t="str">
        <f>IF(C69&gt;-1,"F",S65)</f>
        <v>F</v>
      </c>
    </row>
    <row r="70" spans="2:18" ht="15" hidden="1" thickBot="1" x14ac:dyDescent="0.5">
      <c r="B70" t="s">
        <v>90</v>
      </c>
      <c r="C70" s="4"/>
      <c r="D70" s="1" t="str">
        <f>IF(C69&gt;84.5,('Assessment Matrix'!B7),F70)</f>
        <v>Sound, but with a number of shortcomings. Demonstrates C grade qualities but contains less critical analysis and little or no originality.</v>
      </c>
      <c r="E70" s="2"/>
      <c r="F70" s="2" t="str">
        <f>IF(C69&gt;74.49,('Assessment Matrix'!C7),G70)</f>
        <v>Sound, but with a number of shortcomings. Demonstrates C grade qualities but contains less critical analysis and little or no originality.</v>
      </c>
      <c r="G70" s="2" t="str">
        <f>IF(C69&gt;69.49,('Assessment Matrix'!D7),H70)</f>
        <v>Sound, but with a number of shortcomings. Demonstrates C grade qualities but contains less critical analysis and little or no originality.</v>
      </c>
      <c r="H70" s="2" t="str">
        <f>IF(C69&gt;66.49,('Assessment Matrix'!E7),I70)</f>
        <v>Sound, but with a number of shortcomings. Demonstrates C grade qualities but contains less critical analysis and little or no originality.</v>
      </c>
      <c r="I70" s="2" t="str">
        <f>IF(C69&gt;62.49,('Assessment Matrix'!F7),J70)</f>
        <v>Sound, but with a number of shortcomings. Demonstrates C grade qualities but contains less critical analysis and little or no originality.</v>
      </c>
      <c r="J70" s="2" t="str">
        <f>IF(C69&gt;59.49,('Assessment Matrix'!G7),K70)</f>
        <v>Sound, but with a number of shortcomings. Demonstrates C grade qualities but contains less critical analysis and little or no originality.</v>
      </c>
      <c r="K70" s="2" t="str">
        <f>IF(C69&gt;56.49,('Assessment Matrix'!H7),L70)</f>
        <v>Sound, but with a number of shortcomings. Demonstrates C grade qualities but contains less critical analysis and little or no originality.</v>
      </c>
      <c r="L70" s="2" t="str">
        <f>IF(C69&gt;52.49,('Assessment Matrix'!I7),M70)</f>
        <v>Sound, but with a number of shortcomings. Demonstrates C grade qualities but contains less critical analysis and little or no originality.</v>
      </c>
      <c r="M70" s="2" t="str">
        <f>IF(C69&gt;49.49,('Assessment Matrix'!J7),N70)</f>
        <v>Sound, but with a number of shortcomings. Demonstrates C grade qualities but contains less critical analysis and little or no originality.</v>
      </c>
      <c r="N70" s="2" t="str">
        <f>IF(C69&gt;46.49,('Assessment Matrix'!K7),O70)</f>
        <v>Fair standard, but with a number of shortcomings. Lacks sufficient analysis and interpretation to warrant a C grade.</v>
      </c>
      <c r="O70" s="2" t="str">
        <f>IF(C69&gt;42.49,('Assessment Matrix'!L7),P70)</f>
        <v>A minimum level of understanding of design issues in the context of the brief or assignment, and deficient or fragmentary evidence of learning.</v>
      </c>
      <c r="P70" s="2" t="str">
        <f>IF(C69&gt;39.49,('Assessment Matrix'!M7),Q70)</f>
        <v>At the threshold of Honours, a number of significant shortcomings.</v>
      </c>
      <c r="Q70" s="2" t="str">
        <f>IF(C69&gt;30.49,('Assessment Matrix'!N7),R70)</f>
        <v>A poor understanding of the design issues in the context of the brief or assignment, and no substantial evidence of learning.</v>
      </c>
      <c r="R70" s="2" t="str">
        <f>IF(C69&gt;-1,('Assessment Matrix'!O7),S70)</f>
        <v>A very poor (or total lack of) understanding of the design issues in the context of the brief or assignment, and little evidence of learning.</v>
      </c>
    </row>
    <row r="88" ht="105.75" customHeight="1" x14ac:dyDescent="0.45"/>
    <row r="89" ht="12.75" customHeight="1" x14ac:dyDescent="0.45"/>
  </sheetData>
  <sheetProtection selectLockedCells="1" selectUnlockedCells="1"/>
  <pageMargins left="0.7" right="0.7" top="0.75" bottom="0.27083333333333331" header="0.3" footer="0.3"/>
  <pageSetup paperSize="9" orientation="landscape" horizontalDpi="4294967293" r:id="rId1"/>
  <rowBreaks count="3" manualBreakCount="3">
    <brk id="24" max="16383" man="1"/>
    <brk id="75" max="16383" man="1"/>
    <brk id="99" max="16383" man="1"/>
  </rowBreaks>
  <ignoredErrors>
    <ignoredError sqref="D1" evalError="1"/>
  </ignoredErrors>
  <drawing r:id="rId2"/>
  <legacyDrawing r:id="rId3"/>
  <controls>
    <mc:AlternateContent xmlns:mc="http://schemas.openxmlformats.org/markup-compatibility/2006">
      <mc:Choice Requires="x14">
        <control shapeId="131082" r:id="rId4" name="ScrollBar10">
          <controlPr defaultSize="0" autoLine="0" linkedCell="'Marking Template'!C69" r:id="rId5">
            <anchor moveWithCells="1">
              <from>
                <xdr:col>12</xdr:col>
                <xdr:colOff>114300</xdr:colOff>
                <xdr:row>48</xdr:row>
                <xdr:rowOff>0</xdr:rowOff>
              </from>
              <to>
                <xdr:col>12</xdr:col>
                <xdr:colOff>352425</xdr:colOff>
                <xdr:row>73</xdr:row>
                <xdr:rowOff>76200</xdr:rowOff>
              </to>
            </anchor>
          </controlPr>
        </control>
      </mc:Choice>
      <mc:Fallback>
        <control shapeId="131082" r:id="rId4" name="ScrollBar10"/>
      </mc:Fallback>
    </mc:AlternateContent>
    <mc:AlternateContent xmlns:mc="http://schemas.openxmlformats.org/markup-compatibility/2006">
      <mc:Choice Requires="x14">
        <control shapeId="131081" r:id="rId6" name="ScrollBar9">
          <controlPr defaultSize="0" autoLine="0" linkedCell="'Marking Template'!C67" r:id="rId5">
            <anchor moveWithCells="1">
              <from>
                <xdr:col>9</xdr:col>
                <xdr:colOff>571500</xdr:colOff>
                <xdr:row>48</xdr:row>
                <xdr:rowOff>0</xdr:rowOff>
              </from>
              <to>
                <xdr:col>10</xdr:col>
                <xdr:colOff>161925</xdr:colOff>
                <xdr:row>73</xdr:row>
                <xdr:rowOff>76200</xdr:rowOff>
              </to>
            </anchor>
          </controlPr>
        </control>
      </mc:Choice>
      <mc:Fallback>
        <control shapeId="131081" r:id="rId6" name="ScrollBar9"/>
      </mc:Fallback>
    </mc:AlternateContent>
    <mc:AlternateContent xmlns:mc="http://schemas.openxmlformats.org/markup-compatibility/2006">
      <mc:Choice Requires="x14">
        <control shapeId="131080" r:id="rId7" name="ScrollBar8">
          <controlPr defaultSize="0" autoLine="0" linkedCell="'Marking Template'!C65" r:id="rId5">
            <anchor moveWithCells="1">
              <from>
                <xdr:col>7</xdr:col>
                <xdr:colOff>400050</xdr:colOff>
                <xdr:row>48</xdr:row>
                <xdr:rowOff>0</xdr:rowOff>
              </from>
              <to>
                <xdr:col>7</xdr:col>
                <xdr:colOff>638175</xdr:colOff>
                <xdr:row>73</xdr:row>
                <xdr:rowOff>76200</xdr:rowOff>
              </to>
            </anchor>
          </controlPr>
        </control>
      </mc:Choice>
      <mc:Fallback>
        <control shapeId="131080" r:id="rId7" name="ScrollBar8"/>
      </mc:Fallback>
    </mc:AlternateContent>
    <mc:AlternateContent xmlns:mc="http://schemas.openxmlformats.org/markup-compatibility/2006">
      <mc:Choice Requires="x14">
        <control shapeId="131079" r:id="rId8" name="ScrollBar6">
          <controlPr defaultSize="0" autoLine="0" linkedCell="'Marking Template'!C63" r:id="rId5">
            <anchor moveWithCells="1">
              <from>
                <xdr:col>5</xdr:col>
                <xdr:colOff>266700</xdr:colOff>
                <xdr:row>48</xdr:row>
                <xdr:rowOff>0</xdr:rowOff>
              </from>
              <to>
                <xdr:col>5</xdr:col>
                <xdr:colOff>504825</xdr:colOff>
                <xdr:row>73</xdr:row>
                <xdr:rowOff>76200</xdr:rowOff>
              </to>
            </anchor>
          </controlPr>
        </control>
      </mc:Choice>
      <mc:Fallback>
        <control shapeId="131079" r:id="rId8" name="ScrollBar6"/>
      </mc:Fallback>
    </mc:AlternateContent>
    <mc:AlternateContent xmlns:mc="http://schemas.openxmlformats.org/markup-compatibility/2006">
      <mc:Choice Requires="x14">
        <control shapeId="131078" r:id="rId9" name="ScrollBar2">
          <controlPr defaultSize="0" autoLine="0" linkedCell="'Marking Template'!C61" r:id="rId5">
            <anchor moveWithCells="1">
              <from>
                <xdr:col>3</xdr:col>
                <xdr:colOff>114300</xdr:colOff>
                <xdr:row>48</xdr:row>
                <xdr:rowOff>0</xdr:rowOff>
              </from>
              <to>
                <xdr:col>3</xdr:col>
                <xdr:colOff>352425</xdr:colOff>
                <xdr:row>73</xdr:row>
                <xdr:rowOff>76200</xdr:rowOff>
              </to>
            </anchor>
          </controlPr>
        </control>
      </mc:Choice>
      <mc:Fallback>
        <control shapeId="131078" r:id="rId9" name="ScrollBar2"/>
      </mc:Fallback>
    </mc:AlternateContent>
    <mc:AlternateContent xmlns:mc="http://schemas.openxmlformats.org/markup-compatibility/2006">
      <mc:Choice Requires="x14">
        <control shapeId="131077" r:id="rId10" name="ScrollBar7">
          <controlPr defaultSize="0" autoLine="0" linkedCell="'Marking Template'!C38" r:id="rId5">
            <anchor moveWithCells="1">
              <from>
                <xdr:col>12</xdr:col>
                <xdr:colOff>104775</xdr:colOff>
                <xdr:row>10</xdr:row>
                <xdr:rowOff>171450</xdr:rowOff>
              </from>
              <to>
                <xdr:col>12</xdr:col>
                <xdr:colOff>342900</xdr:colOff>
                <xdr:row>23</xdr:row>
                <xdr:rowOff>66675</xdr:rowOff>
              </to>
            </anchor>
          </controlPr>
        </control>
      </mc:Choice>
      <mc:Fallback>
        <control shapeId="131077" r:id="rId10" name="ScrollBar7"/>
      </mc:Fallback>
    </mc:AlternateContent>
    <mc:AlternateContent xmlns:mc="http://schemas.openxmlformats.org/markup-compatibility/2006">
      <mc:Choice Requires="x14">
        <control shapeId="131076" r:id="rId11" name="ScrollBar5">
          <controlPr defaultSize="0" autoLine="0" linkedCell="'Marking Template'!C36" r:id="rId5">
            <anchor moveWithCells="1">
              <from>
                <xdr:col>9</xdr:col>
                <xdr:colOff>561975</xdr:colOff>
                <xdr:row>10</xdr:row>
                <xdr:rowOff>161925</xdr:rowOff>
              </from>
              <to>
                <xdr:col>10</xdr:col>
                <xdr:colOff>152400</xdr:colOff>
                <xdr:row>23</xdr:row>
                <xdr:rowOff>57150</xdr:rowOff>
              </to>
            </anchor>
          </controlPr>
        </control>
      </mc:Choice>
      <mc:Fallback>
        <control shapeId="131076" r:id="rId11" name="ScrollBar5"/>
      </mc:Fallback>
    </mc:AlternateContent>
    <mc:AlternateContent xmlns:mc="http://schemas.openxmlformats.org/markup-compatibility/2006">
      <mc:Choice Requires="x14">
        <control shapeId="131075" r:id="rId12" name="ScrollBar4">
          <controlPr defaultSize="0" autoLine="0" linkedCell="'Marking Template'!C34" r:id="rId5">
            <anchor moveWithCells="1">
              <from>
                <xdr:col>7</xdr:col>
                <xdr:colOff>390525</xdr:colOff>
                <xdr:row>10</xdr:row>
                <xdr:rowOff>161925</xdr:rowOff>
              </from>
              <to>
                <xdr:col>7</xdr:col>
                <xdr:colOff>628650</xdr:colOff>
                <xdr:row>23</xdr:row>
                <xdr:rowOff>57150</xdr:rowOff>
              </to>
            </anchor>
          </controlPr>
        </control>
      </mc:Choice>
      <mc:Fallback>
        <control shapeId="131075" r:id="rId12" name="ScrollBar4"/>
      </mc:Fallback>
    </mc:AlternateContent>
    <mc:AlternateContent xmlns:mc="http://schemas.openxmlformats.org/markup-compatibility/2006">
      <mc:Choice Requires="x14">
        <control shapeId="131074" r:id="rId13" name="ScrollBar3">
          <controlPr defaultSize="0" autoLine="0" linkedCell="'Marking Template'!C32" r:id="rId5">
            <anchor moveWithCells="1">
              <from>
                <xdr:col>5</xdr:col>
                <xdr:colOff>257175</xdr:colOff>
                <xdr:row>10</xdr:row>
                <xdr:rowOff>161925</xdr:rowOff>
              </from>
              <to>
                <xdr:col>5</xdr:col>
                <xdr:colOff>495300</xdr:colOff>
                <xdr:row>23</xdr:row>
                <xdr:rowOff>57150</xdr:rowOff>
              </to>
            </anchor>
          </controlPr>
        </control>
      </mc:Choice>
      <mc:Fallback>
        <control shapeId="131074" r:id="rId13" name="ScrollBar3"/>
      </mc:Fallback>
    </mc:AlternateContent>
    <mc:AlternateContent xmlns:mc="http://schemas.openxmlformats.org/markup-compatibility/2006">
      <mc:Choice Requires="x14">
        <control shapeId="131073" r:id="rId14" name="ScrollBar1">
          <controlPr defaultSize="0" autoLine="0" linkedCell="'Marking Template'!C30" r:id="rId5">
            <anchor moveWithCells="1">
              <from>
                <xdr:col>3</xdr:col>
                <xdr:colOff>104775</xdr:colOff>
                <xdr:row>10</xdr:row>
                <xdr:rowOff>161925</xdr:rowOff>
              </from>
              <to>
                <xdr:col>3</xdr:col>
                <xdr:colOff>342900</xdr:colOff>
                <xdr:row>23</xdr:row>
                <xdr:rowOff>57150</xdr:rowOff>
              </to>
            </anchor>
          </controlPr>
        </control>
      </mc:Choice>
      <mc:Fallback>
        <control shapeId="131073" r:id="rId14" name="ScrollBar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60"/>
  <sheetViews>
    <sheetView workbookViewId="0">
      <selection activeCell="A2" sqref="A2:B19"/>
    </sheetView>
  </sheetViews>
  <sheetFormatPr defaultRowHeight="14.25" x14ac:dyDescent="0.45"/>
  <cols>
    <col min="1" max="1" width="36.3984375" customWidth="1"/>
    <col min="2" max="2" width="26.59765625" customWidth="1"/>
    <col min="3" max="3" width="36.3984375" hidden="1" customWidth="1"/>
    <col min="4" max="4" width="12.265625" bestFit="1" customWidth="1"/>
    <col min="5" max="5" width="11" customWidth="1"/>
    <col min="6" max="6" width="11.59765625" customWidth="1"/>
    <col min="7" max="7" width="10.86328125" customWidth="1"/>
    <col min="8" max="8" width="15.1328125" bestFit="1" customWidth="1"/>
    <col min="9" max="21" width="9.1328125" hidden="1" customWidth="1"/>
    <col min="22" max="22" width="11.59765625" bestFit="1" customWidth="1"/>
  </cols>
  <sheetData>
    <row r="1" spans="1:21" ht="15" thickBot="1" x14ac:dyDescent="0.5">
      <c r="A1" s="12" t="s">
        <v>85</v>
      </c>
      <c r="B1" s="12" t="s">
        <v>83</v>
      </c>
      <c r="C1" s="12" t="s">
        <v>84</v>
      </c>
      <c r="D1" s="12" t="s">
        <v>76</v>
      </c>
      <c r="E1" s="12" t="s">
        <v>78</v>
      </c>
      <c r="F1" s="12" t="s">
        <v>77</v>
      </c>
      <c r="G1" s="12" t="s">
        <v>79</v>
      </c>
      <c r="H1" s="14" t="s">
        <v>80</v>
      </c>
    </row>
    <row r="2" spans="1:21" s="7" customFormat="1" ht="18.399999999999999" thickBot="1" x14ac:dyDescent="0.5">
      <c r="A2" s="18" t="s">
        <v>91</v>
      </c>
      <c r="B2" s="18">
        <v>40205360</v>
      </c>
      <c r="C2" s="17" t="str">
        <f t="shared" ref="C2:C25" si="0">CONCATENATE(B2,"@live.napier.ac.uk")</f>
        <v>40205360@live.napier.ac.uk</v>
      </c>
      <c r="D2" s="10" t="e">
        <f ca="1">INDIRECT("'"&amp;A2&amp;"'!C28")</f>
        <v>#REF!</v>
      </c>
      <c r="E2" s="5" t="e">
        <f ca="1">INDIRECT("'"&amp;A2&amp;"'!d28")</f>
        <v>#REF!</v>
      </c>
      <c r="F2" s="5" t="e">
        <f ca="1">INDIRECT("'"&amp;A2&amp;"'!C59")</f>
        <v>#REF!</v>
      </c>
      <c r="G2" s="5" t="e">
        <f ca="1">INDIRECT("'"&amp;A2&amp;"'!d59")</f>
        <v>#REF!</v>
      </c>
      <c r="H2" s="15" t="e">
        <f ca="1">AVERAGE(F2,D2)</f>
        <v>#REF!</v>
      </c>
      <c r="I2" s="2" t="e">
        <f t="shared" ref="I2:I25" ca="1" si="1">IF(D2&gt;74.49,"A",J2)</f>
        <v>#REF!</v>
      </c>
      <c r="J2" s="2" t="e">
        <f t="shared" ref="J2:J25" ca="1" si="2">IF(D2&gt;69.49,"A-",K2)</f>
        <v>#REF!</v>
      </c>
      <c r="K2" s="2" t="e">
        <f t="shared" ref="K2:K25" ca="1" si="3">IF(D2&gt;66.49,"B+",L2)</f>
        <v>#REF!</v>
      </c>
      <c r="L2" s="2" t="e">
        <f t="shared" ref="L2:L25" ca="1" si="4">IF(D2&gt;62.49,"B",M2)</f>
        <v>#REF!</v>
      </c>
      <c r="M2" s="2" t="e">
        <f t="shared" ref="M2:M25" ca="1" si="5">IF(D2&gt;59.49,"B-",N2)</f>
        <v>#REF!</v>
      </c>
      <c r="N2" s="2" t="e">
        <f t="shared" ref="N2:N25" ca="1" si="6">IF(D2&gt;56.49,"C+",O2)</f>
        <v>#REF!</v>
      </c>
      <c r="O2" s="2" t="e">
        <f t="shared" ref="O2:O25" ca="1" si="7">IF(D2&gt;52.49,"C",P2)</f>
        <v>#REF!</v>
      </c>
      <c r="P2" s="2" t="e">
        <f t="shared" ref="P2:P25" ca="1" si="8">IF(D2&gt;49.49,"C-",Q2)</f>
        <v>#REF!</v>
      </c>
      <c r="Q2" s="2" t="e">
        <f t="shared" ref="Q2:Q25" ca="1" si="9">IF(D2&gt;46.49,"D+",R2)</f>
        <v>#REF!</v>
      </c>
      <c r="R2" s="2" t="e">
        <f t="shared" ref="R2:R25" ca="1" si="10">IF(D2&gt;42.49,"D",S2)</f>
        <v>#REF!</v>
      </c>
      <c r="S2" s="2" t="e">
        <f t="shared" ref="S2:S25" ca="1" si="11">IF(D2&gt;39.49,"D-",T2)</f>
        <v>#REF!</v>
      </c>
      <c r="T2" s="2" t="e">
        <f t="shared" ref="T2:T25" ca="1" si="12">IF(D2&gt;30.49,"E",U2)</f>
        <v>#REF!</v>
      </c>
      <c r="U2" s="2" t="e">
        <f ca="1">IF(D2&gt;-1,"F",#REF!)</f>
        <v>#REF!</v>
      </c>
    </row>
    <row r="3" spans="1:21" s="7" customFormat="1" ht="18.399999999999999" thickBot="1" x14ac:dyDescent="0.5">
      <c r="A3" s="18" t="s">
        <v>92</v>
      </c>
      <c r="B3" s="18">
        <v>40212102</v>
      </c>
      <c r="C3" s="17" t="str">
        <f t="shared" si="0"/>
        <v>40212102@live.napier.ac.uk</v>
      </c>
      <c r="D3" s="10" t="e">
        <f t="shared" ref="D3:D60" ca="1" si="13">INDIRECT("'"&amp;A3&amp;"'!C28")</f>
        <v>#REF!</v>
      </c>
      <c r="E3" s="5" t="e">
        <f t="shared" ref="E3:E60" ca="1" si="14">INDIRECT("'"&amp;A3&amp;"'!d28")</f>
        <v>#REF!</v>
      </c>
      <c r="F3" s="5" t="e">
        <f t="shared" ref="F3:F60" ca="1" si="15">INDIRECT("'"&amp;A3&amp;"'!C59")</f>
        <v>#REF!</v>
      </c>
      <c r="G3" s="5" t="e">
        <f t="shared" ref="G3:G60" ca="1" si="16">INDIRECT("'"&amp;A3&amp;"'!d59")</f>
        <v>#REF!</v>
      </c>
      <c r="H3" s="15" t="e">
        <f t="shared" ref="H3:H25" ca="1" si="17">AVERAGE(F3,D3)</f>
        <v>#REF!</v>
      </c>
      <c r="I3" s="2" t="e">
        <f t="shared" ca="1" si="1"/>
        <v>#REF!</v>
      </c>
      <c r="J3" s="2" t="e">
        <f t="shared" ca="1" si="2"/>
        <v>#REF!</v>
      </c>
      <c r="K3" s="2" t="e">
        <f t="shared" ca="1" si="3"/>
        <v>#REF!</v>
      </c>
      <c r="L3" s="2" t="e">
        <f t="shared" ca="1" si="4"/>
        <v>#REF!</v>
      </c>
      <c r="M3" s="2" t="e">
        <f t="shared" ca="1" si="5"/>
        <v>#REF!</v>
      </c>
      <c r="N3" s="2" t="e">
        <f t="shared" ca="1" si="6"/>
        <v>#REF!</v>
      </c>
      <c r="O3" s="2" t="e">
        <f t="shared" ca="1" si="7"/>
        <v>#REF!</v>
      </c>
      <c r="P3" s="2" t="e">
        <f t="shared" ca="1" si="8"/>
        <v>#REF!</v>
      </c>
      <c r="Q3" s="2" t="e">
        <f t="shared" ca="1" si="9"/>
        <v>#REF!</v>
      </c>
      <c r="R3" s="2" t="e">
        <f t="shared" ca="1" si="10"/>
        <v>#REF!</v>
      </c>
      <c r="S3" s="2" t="e">
        <f t="shared" ca="1" si="11"/>
        <v>#REF!</v>
      </c>
      <c r="T3" s="2" t="e">
        <f t="shared" ca="1" si="12"/>
        <v>#REF!</v>
      </c>
      <c r="U3" s="2" t="e">
        <f ca="1">IF(D3&gt;-1,"F",#REF!)</f>
        <v>#REF!</v>
      </c>
    </row>
    <row r="4" spans="1:21" s="7" customFormat="1" ht="18.399999999999999" thickBot="1" x14ac:dyDescent="0.5">
      <c r="A4" s="18" t="s">
        <v>93</v>
      </c>
      <c r="B4" s="18">
        <v>40204543</v>
      </c>
      <c r="C4" s="17" t="str">
        <f t="shared" si="0"/>
        <v>40204543@live.napier.ac.uk</v>
      </c>
      <c r="D4" s="10" t="e">
        <f t="shared" ca="1" si="13"/>
        <v>#REF!</v>
      </c>
      <c r="E4" s="5" t="e">
        <f t="shared" ca="1" si="14"/>
        <v>#REF!</v>
      </c>
      <c r="F4" s="5" t="e">
        <f t="shared" ca="1" si="15"/>
        <v>#REF!</v>
      </c>
      <c r="G4" s="5" t="e">
        <f t="shared" ca="1" si="16"/>
        <v>#REF!</v>
      </c>
      <c r="H4" s="15" t="e">
        <f t="shared" ca="1" si="17"/>
        <v>#REF!</v>
      </c>
      <c r="I4" s="2" t="e">
        <f t="shared" ca="1" si="1"/>
        <v>#REF!</v>
      </c>
      <c r="J4" s="2" t="e">
        <f t="shared" ca="1" si="2"/>
        <v>#REF!</v>
      </c>
      <c r="K4" s="2" t="e">
        <f t="shared" ca="1" si="3"/>
        <v>#REF!</v>
      </c>
      <c r="L4" s="2" t="e">
        <f t="shared" ca="1" si="4"/>
        <v>#REF!</v>
      </c>
      <c r="M4" s="2" t="e">
        <f t="shared" ca="1" si="5"/>
        <v>#REF!</v>
      </c>
      <c r="N4" s="2" t="e">
        <f t="shared" ca="1" si="6"/>
        <v>#REF!</v>
      </c>
      <c r="O4" s="2" t="e">
        <f t="shared" ca="1" si="7"/>
        <v>#REF!</v>
      </c>
      <c r="P4" s="2" t="e">
        <f t="shared" ca="1" si="8"/>
        <v>#REF!</v>
      </c>
      <c r="Q4" s="2" t="e">
        <f t="shared" ca="1" si="9"/>
        <v>#REF!</v>
      </c>
      <c r="R4" s="2" t="e">
        <f t="shared" ca="1" si="10"/>
        <v>#REF!</v>
      </c>
      <c r="S4" s="2" t="e">
        <f t="shared" ca="1" si="11"/>
        <v>#REF!</v>
      </c>
      <c r="T4" s="2" t="e">
        <f t="shared" ca="1" si="12"/>
        <v>#REF!</v>
      </c>
      <c r="U4" s="2" t="e">
        <f ca="1">IF(D4&gt;-1,"F",#REF!)</f>
        <v>#REF!</v>
      </c>
    </row>
    <row r="5" spans="1:21" s="7" customFormat="1" ht="18.399999999999999" thickBot="1" x14ac:dyDescent="0.5">
      <c r="A5" s="18"/>
      <c r="B5" s="18"/>
      <c r="C5" s="17" t="str">
        <f t="shared" si="0"/>
        <v>@live.napier.ac.uk</v>
      </c>
      <c r="D5" s="10" t="e">
        <f t="shared" ca="1" si="13"/>
        <v>#REF!</v>
      </c>
      <c r="E5" s="5" t="e">
        <f t="shared" ca="1" si="14"/>
        <v>#REF!</v>
      </c>
      <c r="F5" s="5" t="e">
        <f t="shared" ca="1" si="15"/>
        <v>#REF!</v>
      </c>
      <c r="G5" s="5" t="e">
        <f t="shared" ca="1" si="16"/>
        <v>#REF!</v>
      </c>
      <c r="H5" s="15" t="e">
        <f t="shared" ca="1" si="17"/>
        <v>#REF!</v>
      </c>
      <c r="I5" s="2" t="e">
        <f t="shared" ca="1" si="1"/>
        <v>#REF!</v>
      </c>
      <c r="J5" s="2" t="e">
        <f t="shared" ca="1" si="2"/>
        <v>#REF!</v>
      </c>
      <c r="K5" s="2" t="e">
        <f t="shared" ca="1" si="3"/>
        <v>#REF!</v>
      </c>
      <c r="L5" s="2" t="e">
        <f t="shared" ca="1" si="4"/>
        <v>#REF!</v>
      </c>
      <c r="M5" s="2" t="e">
        <f t="shared" ca="1" si="5"/>
        <v>#REF!</v>
      </c>
      <c r="N5" s="2" t="e">
        <f t="shared" ca="1" si="6"/>
        <v>#REF!</v>
      </c>
      <c r="O5" s="2" t="e">
        <f t="shared" ca="1" si="7"/>
        <v>#REF!</v>
      </c>
      <c r="P5" s="2" t="e">
        <f t="shared" ca="1" si="8"/>
        <v>#REF!</v>
      </c>
      <c r="Q5" s="2" t="e">
        <f t="shared" ca="1" si="9"/>
        <v>#REF!</v>
      </c>
      <c r="R5" s="2" t="e">
        <f t="shared" ca="1" si="10"/>
        <v>#REF!</v>
      </c>
      <c r="S5" s="2" t="e">
        <f t="shared" ca="1" si="11"/>
        <v>#REF!</v>
      </c>
      <c r="T5" s="2" t="e">
        <f t="shared" ca="1" si="12"/>
        <v>#REF!</v>
      </c>
      <c r="U5" s="2" t="e">
        <f ca="1">IF(D5&gt;-1,"F",#REF!)</f>
        <v>#REF!</v>
      </c>
    </row>
    <row r="6" spans="1:21" s="7" customFormat="1" ht="18.399999999999999" thickBot="1" x14ac:dyDescent="0.5">
      <c r="A6" s="18"/>
      <c r="B6" s="18"/>
      <c r="C6" s="17" t="str">
        <f t="shared" si="0"/>
        <v>@live.napier.ac.uk</v>
      </c>
      <c r="D6" s="10" t="e">
        <f t="shared" ca="1" si="13"/>
        <v>#REF!</v>
      </c>
      <c r="E6" s="5" t="e">
        <f t="shared" ca="1" si="14"/>
        <v>#REF!</v>
      </c>
      <c r="F6" s="5" t="e">
        <f t="shared" ca="1" si="15"/>
        <v>#REF!</v>
      </c>
      <c r="G6" s="5" t="e">
        <f t="shared" ca="1" si="16"/>
        <v>#REF!</v>
      </c>
      <c r="H6" s="15" t="e">
        <f t="shared" ca="1" si="17"/>
        <v>#REF!</v>
      </c>
      <c r="I6" s="2" t="e">
        <f t="shared" ca="1" si="1"/>
        <v>#REF!</v>
      </c>
      <c r="J6" s="2" t="e">
        <f t="shared" ca="1" si="2"/>
        <v>#REF!</v>
      </c>
      <c r="K6" s="2" t="e">
        <f t="shared" ca="1" si="3"/>
        <v>#REF!</v>
      </c>
      <c r="L6" s="2" t="e">
        <f t="shared" ca="1" si="4"/>
        <v>#REF!</v>
      </c>
      <c r="M6" s="2" t="e">
        <f t="shared" ca="1" si="5"/>
        <v>#REF!</v>
      </c>
      <c r="N6" s="2" t="e">
        <f t="shared" ca="1" si="6"/>
        <v>#REF!</v>
      </c>
      <c r="O6" s="2" t="e">
        <f t="shared" ca="1" si="7"/>
        <v>#REF!</v>
      </c>
      <c r="P6" s="2" t="e">
        <f t="shared" ca="1" si="8"/>
        <v>#REF!</v>
      </c>
      <c r="Q6" s="2" t="e">
        <f t="shared" ca="1" si="9"/>
        <v>#REF!</v>
      </c>
      <c r="R6" s="2" t="e">
        <f t="shared" ca="1" si="10"/>
        <v>#REF!</v>
      </c>
      <c r="S6" s="2" t="e">
        <f t="shared" ca="1" si="11"/>
        <v>#REF!</v>
      </c>
      <c r="T6" s="2" t="e">
        <f t="shared" ca="1" si="12"/>
        <v>#REF!</v>
      </c>
      <c r="U6" s="2" t="e">
        <f ca="1">IF(D6&gt;-1,"F",#REF!)</f>
        <v>#REF!</v>
      </c>
    </row>
    <row r="7" spans="1:21" s="7" customFormat="1" ht="18.399999999999999" thickBot="1" x14ac:dyDescent="0.5">
      <c r="A7" s="18"/>
      <c r="B7" s="19"/>
      <c r="C7" s="17" t="str">
        <f t="shared" si="0"/>
        <v>@live.napier.ac.uk</v>
      </c>
      <c r="D7" s="10" t="e">
        <f t="shared" ca="1" si="13"/>
        <v>#REF!</v>
      </c>
      <c r="E7" s="5" t="e">
        <f t="shared" ca="1" si="14"/>
        <v>#REF!</v>
      </c>
      <c r="F7" s="5" t="e">
        <f t="shared" ca="1" si="15"/>
        <v>#REF!</v>
      </c>
      <c r="G7" s="5" t="e">
        <f t="shared" ca="1" si="16"/>
        <v>#REF!</v>
      </c>
      <c r="H7" s="15" t="e">
        <f t="shared" ca="1" si="17"/>
        <v>#REF!</v>
      </c>
      <c r="I7" s="2" t="e">
        <f t="shared" ca="1" si="1"/>
        <v>#REF!</v>
      </c>
      <c r="J7" s="2" t="e">
        <f t="shared" ca="1" si="2"/>
        <v>#REF!</v>
      </c>
      <c r="K7" s="2" t="e">
        <f t="shared" ca="1" si="3"/>
        <v>#REF!</v>
      </c>
      <c r="L7" s="2" t="e">
        <f t="shared" ca="1" si="4"/>
        <v>#REF!</v>
      </c>
      <c r="M7" s="2" t="e">
        <f t="shared" ca="1" si="5"/>
        <v>#REF!</v>
      </c>
      <c r="N7" s="2" t="e">
        <f t="shared" ca="1" si="6"/>
        <v>#REF!</v>
      </c>
      <c r="O7" s="2" t="e">
        <f t="shared" ca="1" si="7"/>
        <v>#REF!</v>
      </c>
      <c r="P7" s="2" t="e">
        <f t="shared" ca="1" si="8"/>
        <v>#REF!</v>
      </c>
      <c r="Q7" s="2" t="e">
        <f t="shared" ca="1" si="9"/>
        <v>#REF!</v>
      </c>
      <c r="R7" s="2" t="e">
        <f t="shared" ca="1" si="10"/>
        <v>#REF!</v>
      </c>
      <c r="S7" s="2" t="e">
        <f t="shared" ca="1" si="11"/>
        <v>#REF!</v>
      </c>
      <c r="T7" s="2" t="e">
        <f t="shared" ca="1" si="12"/>
        <v>#REF!</v>
      </c>
      <c r="U7" s="2" t="e">
        <f ca="1">IF(D7&gt;-1,"F",#REF!)</f>
        <v>#REF!</v>
      </c>
    </row>
    <row r="8" spans="1:21" s="7" customFormat="1" ht="18.399999999999999" thickBot="1" x14ac:dyDescent="0.5">
      <c r="A8" s="18"/>
      <c r="B8" s="19"/>
      <c r="C8" s="17" t="str">
        <f t="shared" si="0"/>
        <v>@live.napier.ac.uk</v>
      </c>
      <c r="D8" s="10" t="e">
        <f t="shared" ca="1" si="13"/>
        <v>#REF!</v>
      </c>
      <c r="E8" s="5" t="e">
        <f t="shared" ca="1" si="14"/>
        <v>#REF!</v>
      </c>
      <c r="F8" s="5" t="e">
        <f t="shared" ca="1" si="15"/>
        <v>#REF!</v>
      </c>
      <c r="G8" s="5" t="e">
        <f t="shared" ca="1" si="16"/>
        <v>#REF!</v>
      </c>
      <c r="H8" s="15" t="e">
        <f t="shared" ca="1" si="17"/>
        <v>#REF!</v>
      </c>
      <c r="I8" s="2" t="e">
        <f t="shared" ca="1" si="1"/>
        <v>#REF!</v>
      </c>
      <c r="J8" s="2" t="e">
        <f t="shared" ca="1" si="2"/>
        <v>#REF!</v>
      </c>
      <c r="K8" s="2" t="e">
        <f t="shared" ca="1" si="3"/>
        <v>#REF!</v>
      </c>
      <c r="L8" s="2" t="e">
        <f t="shared" ca="1" si="4"/>
        <v>#REF!</v>
      </c>
      <c r="M8" s="2" t="e">
        <f t="shared" ca="1" si="5"/>
        <v>#REF!</v>
      </c>
      <c r="N8" s="2" t="e">
        <f t="shared" ca="1" si="6"/>
        <v>#REF!</v>
      </c>
      <c r="O8" s="2" t="e">
        <f t="shared" ca="1" si="7"/>
        <v>#REF!</v>
      </c>
      <c r="P8" s="2" t="e">
        <f t="shared" ca="1" si="8"/>
        <v>#REF!</v>
      </c>
      <c r="Q8" s="2" t="e">
        <f t="shared" ca="1" si="9"/>
        <v>#REF!</v>
      </c>
      <c r="R8" s="2" t="e">
        <f t="shared" ca="1" si="10"/>
        <v>#REF!</v>
      </c>
      <c r="S8" s="2" t="e">
        <f t="shared" ca="1" si="11"/>
        <v>#REF!</v>
      </c>
      <c r="T8" s="2" t="e">
        <f t="shared" ca="1" si="12"/>
        <v>#REF!</v>
      </c>
      <c r="U8" s="2" t="e">
        <f ca="1">IF(D8&gt;-1,"F",#REF!)</f>
        <v>#REF!</v>
      </c>
    </row>
    <row r="9" spans="1:21" s="7" customFormat="1" ht="18.399999999999999" thickBot="1" x14ac:dyDescent="0.5">
      <c r="A9" s="18"/>
      <c r="B9" s="19"/>
      <c r="C9" s="17" t="str">
        <f t="shared" si="0"/>
        <v>@live.napier.ac.uk</v>
      </c>
      <c r="D9" s="10" t="e">
        <f t="shared" ca="1" si="13"/>
        <v>#REF!</v>
      </c>
      <c r="E9" s="5" t="e">
        <f t="shared" ca="1" si="14"/>
        <v>#REF!</v>
      </c>
      <c r="F9" s="5" t="e">
        <f t="shared" ca="1" si="15"/>
        <v>#REF!</v>
      </c>
      <c r="G9" s="5" t="e">
        <f t="shared" ca="1" si="16"/>
        <v>#REF!</v>
      </c>
      <c r="H9" s="15" t="e">
        <f t="shared" ca="1" si="17"/>
        <v>#REF!</v>
      </c>
      <c r="I9" s="2" t="e">
        <f t="shared" ca="1" si="1"/>
        <v>#REF!</v>
      </c>
      <c r="J9" s="2" t="e">
        <f t="shared" ca="1" si="2"/>
        <v>#REF!</v>
      </c>
      <c r="K9" s="2" t="e">
        <f t="shared" ca="1" si="3"/>
        <v>#REF!</v>
      </c>
      <c r="L9" s="2" t="e">
        <f t="shared" ca="1" si="4"/>
        <v>#REF!</v>
      </c>
      <c r="M9" s="2" t="e">
        <f t="shared" ca="1" si="5"/>
        <v>#REF!</v>
      </c>
      <c r="N9" s="2" t="e">
        <f t="shared" ca="1" si="6"/>
        <v>#REF!</v>
      </c>
      <c r="O9" s="2" t="e">
        <f t="shared" ca="1" si="7"/>
        <v>#REF!</v>
      </c>
      <c r="P9" s="2" t="e">
        <f t="shared" ca="1" si="8"/>
        <v>#REF!</v>
      </c>
      <c r="Q9" s="2" t="e">
        <f t="shared" ca="1" si="9"/>
        <v>#REF!</v>
      </c>
      <c r="R9" s="2" t="e">
        <f t="shared" ca="1" si="10"/>
        <v>#REF!</v>
      </c>
      <c r="S9" s="2" t="e">
        <f t="shared" ca="1" si="11"/>
        <v>#REF!</v>
      </c>
      <c r="T9" s="2" t="e">
        <f t="shared" ca="1" si="12"/>
        <v>#REF!</v>
      </c>
      <c r="U9" s="2" t="e">
        <f ca="1">IF(D9&gt;-1,"F",#REF!)</f>
        <v>#REF!</v>
      </c>
    </row>
    <row r="10" spans="1:21" s="7" customFormat="1" ht="18.399999999999999" thickBot="1" x14ac:dyDescent="0.5">
      <c r="A10" s="18"/>
      <c r="B10" s="20"/>
      <c r="C10" s="17" t="str">
        <f t="shared" si="0"/>
        <v>@live.napier.ac.uk</v>
      </c>
      <c r="D10" s="10" t="e">
        <f t="shared" ca="1" si="13"/>
        <v>#REF!</v>
      </c>
      <c r="E10" s="5" t="e">
        <f t="shared" ca="1" si="14"/>
        <v>#REF!</v>
      </c>
      <c r="F10" s="5" t="e">
        <f t="shared" ca="1" si="15"/>
        <v>#REF!</v>
      </c>
      <c r="G10" s="5" t="e">
        <f t="shared" ca="1" si="16"/>
        <v>#REF!</v>
      </c>
      <c r="H10" s="15" t="e">
        <f t="shared" ca="1" si="17"/>
        <v>#REF!</v>
      </c>
      <c r="I10" s="2" t="e">
        <f t="shared" ca="1" si="1"/>
        <v>#REF!</v>
      </c>
      <c r="J10" s="2" t="e">
        <f t="shared" ca="1" si="2"/>
        <v>#REF!</v>
      </c>
      <c r="K10" s="2" t="e">
        <f t="shared" ca="1" si="3"/>
        <v>#REF!</v>
      </c>
      <c r="L10" s="2" t="e">
        <f t="shared" ca="1" si="4"/>
        <v>#REF!</v>
      </c>
      <c r="M10" s="2" t="e">
        <f t="shared" ca="1" si="5"/>
        <v>#REF!</v>
      </c>
      <c r="N10" s="2" t="e">
        <f t="shared" ca="1" si="6"/>
        <v>#REF!</v>
      </c>
      <c r="O10" s="2" t="e">
        <f t="shared" ca="1" si="7"/>
        <v>#REF!</v>
      </c>
      <c r="P10" s="2" t="e">
        <f t="shared" ca="1" si="8"/>
        <v>#REF!</v>
      </c>
      <c r="Q10" s="2" t="e">
        <f t="shared" ca="1" si="9"/>
        <v>#REF!</v>
      </c>
      <c r="R10" s="2" t="e">
        <f t="shared" ca="1" si="10"/>
        <v>#REF!</v>
      </c>
      <c r="S10" s="2" t="e">
        <f t="shared" ca="1" si="11"/>
        <v>#REF!</v>
      </c>
      <c r="T10" s="2" t="e">
        <f t="shared" ca="1" si="12"/>
        <v>#REF!</v>
      </c>
      <c r="U10" s="2" t="e">
        <f ca="1">IF(D10&gt;-1,"F",#REF!)</f>
        <v>#REF!</v>
      </c>
    </row>
    <row r="11" spans="1:21" s="7" customFormat="1" ht="18.399999999999999" thickBot="1" x14ac:dyDescent="0.5">
      <c r="A11" s="18"/>
      <c r="B11" s="19"/>
      <c r="C11" s="17" t="str">
        <f t="shared" si="0"/>
        <v>@live.napier.ac.uk</v>
      </c>
      <c r="D11" s="10" t="e">
        <f t="shared" ca="1" si="13"/>
        <v>#REF!</v>
      </c>
      <c r="E11" s="5" t="e">
        <f t="shared" ca="1" si="14"/>
        <v>#REF!</v>
      </c>
      <c r="F11" s="5" t="e">
        <f t="shared" ca="1" si="15"/>
        <v>#REF!</v>
      </c>
      <c r="G11" s="5" t="e">
        <f t="shared" ca="1" si="16"/>
        <v>#REF!</v>
      </c>
      <c r="H11" s="15" t="e">
        <f t="shared" ca="1" si="17"/>
        <v>#REF!</v>
      </c>
      <c r="I11" s="2" t="e">
        <f t="shared" ca="1" si="1"/>
        <v>#REF!</v>
      </c>
      <c r="J11" s="2" t="e">
        <f t="shared" ca="1" si="2"/>
        <v>#REF!</v>
      </c>
      <c r="K11" s="2" t="e">
        <f t="shared" ca="1" si="3"/>
        <v>#REF!</v>
      </c>
      <c r="L11" s="2" t="e">
        <f t="shared" ca="1" si="4"/>
        <v>#REF!</v>
      </c>
      <c r="M11" s="2" t="e">
        <f t="shared" ca="1" si="5"/>
        <v>#REF!</v>
      </c>
      <c r="N11" s="2" t="e">
        <f t="shared" ca="1" si="6"/>
        <v>#REF!</v>
      </c>
      <c r="O11" s="2" t="e">
        <f t="shared" ca="1" si="7"/>
        <v>#REF!</v>
      </c>
      <c r="P11" s="2" t="e">
        <f t="shared" ca="1" si="8"/>
        <v>#REF!</v>
      </c>
      <c r="Q11" s="2" t="e">
        <f t="shared" ca="1" si="9"/>
        <v>#REF!</v>
      </c>
      <c r="R11" s="2" t="e">
        <f t="shared" ca="1" si="10"/>
        <v>#REF!</v>
      </c>
      <c r="S11" s="2" t="e">
        <f t="shared" ca="1" si="11"/>
        <v>#REF!</v>
      </c>
      <c r="T11" s="2" t="e">
        <f t="shared" ca="1" si="12"/>
        <v>#REF!</v>
      </c>
      <c r="U11" s="2" t="e">
        <f ca="1">IF(D11&gt;-1,"F",#REF!)</f>
        <v>#REF!</v>
      </c>
    </row>
    <row r="12" spans="1:21" s="7" customFormat="1" ht="18.399999999999999" thickBot="1" x14ac:dyDescent="0.5">
      <c r="A12" s="21"/>
      <c r="B12" s="20"/>
      <c r="C12" s="17" t="str">
        <f t="shared" si="0"/>
        <v>@live.napier.ac.uk</v>
      </c>
      <c r="D12" s="10" t="e">
        <f t="shared" ca="1" si="13"/>
        <v>#REF!</v>
      </c>
      <c r="E12" s="5" t="e">
        <f t="shared" ca="1" si="14"/>
        <v>#REF!</v>
      </c>
      <c r="F12" s="5" t="e">
        <f t="shared" ca="1" si="15"/>
        <v>#REF!</v>
      </c>
      <c r="G12" s="5" t="e">
        <f t="shared" ca="1" si="16"/>
        <v>#REF!</v>
      </c>
      <c r="H12" s="15" t="e">
        <f t="shared" ca="1" si="17"/>
        <v>#REF!</v>
      </c>
      <c r="I12" s="2" t="e">
        <f t="shared" ca="1" si="1"/>
        <v>#REF!</v>
      </c>
      <c r="J12" s="2" t="e">
        <f t="shared" ca="1" si="2"/>
        <v>#REF!</v>
      </c>
      <c r="K12" s="2" t="e">
        <f t="shared" ca="1" si="3"/>
        <v>#REF!</v>
      </c>
      <c r="L12" s="2" t="e">
        <f t="shared" ca="1" si="4"/>
        <v>#REF!</v>
      </c>
      <c r="M12" s="2" t="e">
        <f t="shared" ca="1" si="5"/>
        <v>#REF!</v>
      </c>
      <c r="N12" s="2" t="e">
        <f t="shared" ca="1" si="6"/>
        <v>#REF!</v>
      </c>
      <c r="O12" s="2" t="e">
        <f t="shared" ca="1" si="7"/>
        <v>#REF!</v>
      </c>
      <c r="P12" s="2" t="e">
        <f t="shared" ca="1" si="8"/>
        <v>#REF!</v>
      </c>
      <c r="Q12" s="2" t="e">
        <f t="shared" ca="1" si="9"/>
        <v>#REF!</v>
      </c>
      <c r="R12" s="2" t="e">
        <f t="shared" ca="1" si="10"/>
        <v>#REF!</v>
      </c>
      <c r="S12" s="2" t="e">
        <f t="shared" ca="1" si="11"/>
        <v>#REF!</v>
      </c>
      <c r="T12" s="2" t="e">
        <f t="shared" ca="1" si="12"/>
        <v>#REF!</v>
      </c>
      <c r="U12" s="2" t="e">
        <f ca="1">IF(D12&gt;-1,"F",#REF!)</f>
        <v>#REF!</v>
      </c>
    </row>
    <row r="13" spans="1:21" s="7" customFormat="1" ht="18.399999999999999" thickBot="1" x14ac:dyDescent="0.5">
      <c r="A13" s="21"/>
      <c r="B13" s="20"/>
      <c r="C13" s="17" t="str">
        <f t="shared" si="0"/>
        <v>@live.napier.ac.uk</v>
      </c>
      <c r="D13" s="10" t="e">
        <f t="shared" ca="1" si="13"/>
        <v>#REF!</v>
      </c>
      <c r="E13" s="5" t="e">
        <f t="shared" ca="1" si="14"/>
        <v>#REF!</v>
      </c>
      <c r="F13" s="5" t="e">
        <f t="shared" ca="1" si="15"/>
        <v>#REF!</v>
      </c>
      <c r="G13" s="5" t="e">
        <f t="shared" ca="1" si="16"/>
        <v>#REF!</v>
      </c>
      <c r="H13" s="15" t="e">
        <f t="shared" ca="1" si="17"/>
        <v>#REF!</v>
      </c>
      <c r="I13" s="2" t="e">
        <f t="shared" ca="1" si="1"/>
        <v>#REF!</v>
      </c>
      <c r="J13" s="2" t="e">
        <f t="shared" ca="1" si="2"/>
        <v>#REF!</v>
      </c>
      <c r="K13" s="2" t="e">
        <f t="shared" ca="1" si="3"/>
        <v>#REF!</v>
      </c>
      <c r="L13" s="2" t="e">
        <f t="shared" ca="1" si="4"/>
        <v>#REF!</v>
      </c>
      <c r="M13" s="2" t="e">
        <f t="shared" ca="1" si="5"/>
        <v>#REF!</v>
      </c>
      <c r="N13" s="2" t="e">
        <f t="shared" ca="1" si="6"/>
        <v>#REF!</v>
      </c>
      <c r="O13" s="2" t="e">
        <f t="shared" ca="1" si="7"/>
        <v>#REF!</v>
      </c>
      <c r="P13" s="2" t="e">
        <f t="shared" ca="1" si="8"/>
        <v>#REF!</v>
      </c>
      <c r="Q13" s="2" t="e">
        <f t="shared" ca="1" si="9"/>
        <v>#REF!</v>
      </c>
      <c r="R13" s="2" t="e">
        <f t="shared" ca="1" si="10"/>
        <v>#REF!</v>
      </c>
      <c r="S13" s="2" t="e">
        <f t="shared" ca="1" si="11"/>
        <v>#REF!</v>
      </c>
      <c r="T13" s="2" t="e">
        <f t="shared" ca="1" si="12"/>
        <v>#REF!</v>
      </c>
      <c r="U13" s="2" t="e">
        <f ca="1">IF(D13&gt;-1,"F",#REF!)</f>
        <v>#REF!</v>
      </c>
    </row>
    <row r="14" spans="1:21" s="7" customFormat="1" ht="18.399999999999999" thickBot="1" x14ac:dyDescent="0.5">
      <c r="A14" s="21"/>
      <c r="B14" s="19"/>
      <c r="C14" s="17" t="str">
        <f t="shared" si="0"/>
        <v>@live.napier.ac.uk</v>
      </c>
      <c r="D14" s="10" t="e">
        <f t="shared" ca="1" si="13"/>
        <v>#REF!</v>
      </c>
      <c r="E14" s="5" t="e">
        <f t="shared" ca="1" si="14"/>
        <v>#REF!</v>
      </c>
      <c r="F14" s="5" t="e">
        <f t="shared" ca="1" si="15"/>
        <v>#REF!</v>
      </c>
      <c r="G14" s="5" t="e">
        <f t="shared" ca="1" si="16"/>
        <v>#REF!</v>
      </c>
      <c r="H14" s="15" t="e">
        <f t="shared" ca="1" si="17"/>
        <v>#REF!</v>
      </c>
      <c r="I14" s="2" t="e">
        <f t="shared" ca="1" si="1"/>
        <v>#REF!</v>
      </c>
      <c r="J14" s="2" t="e">
        <f t="shared" ca="1" si="2"/>
        <v>#REF!</v>
      </c>
      <c r="K14" s="2" t="e">
        <f t="shared" ca="1" si="3"/>
        <v>#REF!</v>
      </c>
      <c r="L14" s="2" t="e">
        <f t="shared" ca="1" si="4"/>
        <v>#REF!</v>
      </c>
      <c r="M14" s="2" t="e">
        <f t="shared" ca="1" si="5"/>
        <v>#REF!</v>
      </c>
      <c r="N14" s="2" t="e">
        <f t="shared" ca="1" si="6"/>
        <v>#REF!</v>
      </c>
      <c r="O14" s="2" t="e">
        <f t="shared" ca="1" si="7"/>
        <v>#REF!</v>
      </c>
      <c r="P14" s="2" t="e">
        <f t="shared" ca="1" si="8"/>
        <v>#REF!</v>
      </c>
      <c r="Q14" s="2" t="e">
        <f t="shared" ca="1" si="9"/>
        <v>#REF!</v>
      </c>
      <c r="R14" s="2" t="e">
        <f t="shared" ca="1" si="10"/>
        <v>#REF!</v>
      </c>
      <c r="S14" s="2" t="e">
        <f t="shared" ca="1" si="11"/>
        <v>#REF!</v>
      </c>
      <c r="T14" s="2" t="e">
        <f t="shared" ca="1" si="12"/>
        <v>#REF!</v>
      </c>
      <c r="U14" s="2" t="e">
        <f ca="1">IF(D14&gt;-1,"F",#REF!)</f>
        <v>#REF!</v>
      </c>
    </row>
    <row r="15" spans="1:21" s="7" customFormat="1" ht="18.399999999999999" thickBot="1" x14ac:dyDescent="0.5">
      <c r="A15" s="21"/>
      <c r="B15" s="19"/>
      <c r="C15" s="17" t="str">
        <f t="shared" si="0"/>
        <v>@live.napier.ac.uk</v>
      </c>
      <c r="D15" s="10" t="e">
        <f t="shared" ca="1" si="13"/>
        <v>#REF!</v>
      </c>
      <c r="E15" s="5" t="e">
        <f t="shared" ca="1" si="14"/>
        <v>#REF!</v>
      </c>
      <c r="F15" s="5" t="e">
        <f t="shared" ca="1" si="15"/>
        <v>#REF!</v>
      </c>
      <c r="G15" s="5" t="e">
        <f t="shared" ca="1" si="16"/>
        <v>#REF!</v>
      </c>
      <c r="H15" s="15" t="e">
        <f t="shared" ca="1" si="17"/>
        <v>#REF!</v>
      </c>
      <c r="I15" s="2" t="e">
        <f t="shared" ca="1" si="1"/>
        <v>#REF!</v>
      </c>
      <c r="J15" s="2" t="e">
        <f t="shared" ca="1" si="2"/>
        <v>#REF!</v>
      </c>
      <c r="K15" s="2" t="e">
        <f t="shared" ca="1" si="3"/>
        <v>#REF!</v>
      </c>
      <c r="L15" s="2" t="e">
        <f t="shared" ca="1" si="4"/>
        <v>#REF!</v>
      </c>
      <c r="M15" s="2" t="e">
        <f t="shared" ca="1" si="5"/>
        <v>#REF!</v>
      </c>
      <c r="N15" s="2" t="e">
        <f t="shared" ca="1" si="6"/>
        <v>#REF!</v>
      </c>
      <c r="O15" s="2" t="e">
        <f t="shared" ca="1" si="7"/>
        <v>#REF!</v>
      </c>
      <c r="P15" s="2" t="e">
        <f t="shared" ca="1" si="8"/>
        <v>#REF!</v>
      </c>
      <c r="Q15" s="2" t="e">
        <f t="shared" ca="1" si="9"/>
        <v>#REF!</v>
      </c>
      <c r="R15" s="2" t="e">
        <f t="shared" ca="1" si="10"/>
        <v>#REF!</v>
      </c>
      <c r="S15" s="2" t="e">
        <f t="shared" ca="1" si="11"/>
        <v>#REF!</v>
      </c>
      <c r="T15" s="2" t="e">
        <f t="shared" ca="1" si="12"/>
        <v>#REF!</v>
      </c>
      <c r="U15" s="2" t="e">
        <f ca="1">IF(D15&gt;-1,"F",#REF!)</f>
        <v>#REF!</v>
      </c>
    </row>
    <row r="16" spans="1:21" s="7" customFormat="1" ht="18.399999999999999" thickBot="1" x14ac:dyDescent="0.5">
      <c r="A16" s="21"/>
      <c r="B16" s="20"/>
      <c r="C16" s="17" t="str">
        <f t="shared" si="0"/>
        <v>@live.napier.ac.uk</v>
      </c>
      <c r="D16" s="10" t="e">
        <f t="shared" ca="1" si="13"/>
        <v>#REF!</v>
      </c>
      <c r="E16" s="5" t="e">
        <f t="shared" ca="1" si="14"/>
        <v>#REF!</v>
      </c>
      <c r="F16" s="5" t="e">
        <f t="shared" ca="1" si="15"/>
        <v>#REF!</v>
      </c>
      <c r="G16" s="5" t="e">
        <f t="shared" ca="1" si="16"/>
        <v>#REF!</v>
      </c>
      <c r="H16" s="15" t="e">
        <f t="shared" ca="1" si="17"/>
        <v>#REF!</v>
      </c>
      <c r="I16" s="2" t="e">
        <f t="shared" ca="1" si="1"/>
        <v>#REF!</v>
      </c>
      <c r="J16" s="2" t="e">
        <f t="shared" ca="1" si="2"/>
        <v>#REF!</v>
      </c>
      <c r="K16" s="2" t="e">
        <f t="shared" ca="1" si="3"/>
        <v>#REF!</v>
      </c>
      <c r="L16" s="2" t="e">
        <f t="shared" ca="1" si="4"/>
        <v>#REF!</v>
      </c>
      <c r="M16" s="2" t="e">
        <f t="shared" ca="1" si="5"/>
        <v>#REF!</v>
      </c>
      <c r="N16" s="2" t="e">
        <f t="shared" ca="1" si="6"/>
        <v>#REF!</v>
      </c>
      <c r="O16" s="2" t="e">
        <f t="shared" ca="1" si="7"/>
        <v>#REF!</v>
      </c>
      <c r="P16" s="2" t="e">
        <f t="shared" ca="1" si="8"/>
        <v>#REF!</v>
      </c>
      <c r="Q16" s="2" t="e">
        <f t="shared" ca="1" si="9"/>
        <v>#REF!</v>
      </c>
      <c r="R16" s="2" t="e">
        <f t="shared" ca="1" si="10"/>
        <v>#REF!</v>
      </c>
      <c r="S16" s="2" t="e">
        <f t="shared" ca="1" si="11"/>
        <v>#REF!</v>
      </c>
      <c r="T16" s="2" t="e">
        <f t="shared" ca="1" si="12"/>
        <v>#REF!</v>
      </c>
      <c r="U16" s="2" t="e">
        <f ca="1">IF(D16&gt;-1,"F",#REF!)</f>
        <v>#REF!</v>
      </c>
    </row>
    <row r="17" spans="1:21" s="7" customFormat="1" ht="18.399999999999999" thickBot="1" x14ac:dyDescent="0.5">
      <c r="A17" s="18"/>
      <c r="B17" s="19"/>
      <c r="C17" s="17" t="str">
        <f t="shared" si="0"/>
        <v>@live.napier.ac.uk</v>
      </c>
      <c r="D17" s="10" t="e">
        <f t="shared" ca="1" si="13"/>
        <v>#REF!</v>
      </c>
      <c r="E17" s="5" t="e">
        <f t="shared" ca="1" si="14"/>
        <v>#REF!</v>
      </c>
      <c r="F17" s="5" t="e">
        <f t="shared" ca="1" si="15"/>
        <v>#REF!</v>
      </c>
      <c r="G17" s="5" t="e">
        <f t="shared" ca="1" si="16"/>
        <v>#REF!</v>
      </c>
      <c r="H17" s="15" t="e">
        <f t="shared" ca="1" si="17"/>
        <v>#REF!</v>
      </c>
      <c r="I17" s="2" t="e">
        <f t="shared" ca="1" si="1"/>
        <v>#REF!</v>
      </c>
      <c r="J17" s="2" t="e">
        <f t="shared" ca="1" si="2"/>
        <v>#REF!</v>
      </c>
      <c r="K17" s="2" t="e">
        <f t="shared" ca="1" si="3"/>
        <v>#REF!</v>
      </c>
      <c r="L17" s="2" t="e">
        <f t="shared" ca="1" si="4"/>
        <v>#REF!</v>
      </c>
      <c r="M17" s="2" t="e">
        <f t="shared" ca="1" si="5"/>
        <v>#REF!</v>
      </c>
      <c r="N17" s="2" t="e">
        <f t="shared" ca="1" si="6"/>
        <v>#REF!</v>
      </c>
      <c r="O17" s="2" t="e">
        <f t="shared" ca="1" si="7"/>
        <v>#REF!</v>
      </c>
      <c r="P17" s="2" t="e">
        <f t="shared" ca="1" si="8"/>
        <v>#REF!</v>
      </c>
      <c r="Q17" s="2" t="e">
        <f t="shared" ca="1" si="9"/>
        <v>#REF!</v>
      </c>
      <c r="R17" s="2" t="e">
        <f t="shared" ca="1" si="10"/>
        <v>#REF!</v>
      </c>
      <c r="S17" s="2" t="e">
        <f t="shared" ca="1" si="11"/>
        <v>#REF!</v>
      </c>
      <c r="T17" s="2" t="e">
        <f t="shared" ca="1" si="12"/>
        <v>#REF!</v>
      </c>
      <c r="U17" s="2" t="e">
        <f ca="1">IF(D17&gt;-1,"F",#REF!)</f>
        <v>#REF!</v>
      </c>
    </row>
    <row r="18" spans="1:21" s="7" customFormat="1" ht="18.399999999999999" thickBot="1" x14ac:dyDescent="0.5">
      <c r="A18" s="18"/>
      <c r="B18" s="20"/>
      <c r="C18" s="17" t="str">
        <f t="shared" si="0"/>
        <v>@live.napier.ac.uk</v>
      </c>
      <c r="D18" s="10" t="e">
        <f t="shared" ca="1" si="13"/>
        <v>#REF!</v>
      </c>
      <c r="E18" s="5" t="e">
        <f t="shared" ca="1" si="14"/>
        <v>#REF!</v>
      </c>
      <c r="F18" s="5" t="e">
        <f t="shared" ca="1" si="15"/>
        <v>#REF!</v>
      </c>
      <c r="G18" s="5" t="e">
        <f t="shared" ca="1" si="16"/>
        <v>#REF!</v>
      </c>
      <c r="H18" s="15" t="e">
        <f t="shared" ca="1" si="17"/>
        <v>#REF!</v>
      </c>
      <c r="I18" s="2" t="e">
        <f t="shared" ca="1" si="1"/>
        <v>#REF!</v>
      </c>
      <c r="J18" s="2" t="e">
        <f t="shared" ca="1" si="2"/>
        <v>#REF!</v>
      </c>
      <c r="K18" s="2" t="e">
        <f t="shared" ca="1" si="3"/>
        <v>#REF!</v>
      </c>
      <c r="L18" s="2" t="e">
        <f t="shared" ca="1" si="4"/>
        <v>#REF!</v>
      </c>
      <c r="M18" s="2" t="e">
        <f t="shared" ca="1" si="5"/>
        <v>#REF!</v>
      </c>
      <c r="N18" s="2" t="e">
        <f t="shared" ca="1" si="6"/>
        <v>#REF!</v>
      </c>
      <c r="O18" s="2" t="e">
        <f t="shared" ca="1" si="7"/>
        <v>#REF!</v>
      </c>
      <c r="P18" s="2" t="e">
        <f t="shared" ca="1" si="8"/>
        <v>#REF!</v>
      </c>
      <c r="Q18" s="2" t="e">
        <f t="shared" ca="1" si="9"/>
        <v>#REF!</v>
      </c>
      <c r="R18" s="2" t="e">
        <f t="shared" ca="1" si="10"/>
        <v>#REF!</v>
      </c>
      <c r="S18" s="2" t="e">
        <f t="shared" ca="1" si="11"/>
        <v>#REF!</v>
      </c>
      <c r="T18" s="2" t="e">
        <f t="shared" ca="1" si="12"/>
        <v>#REF!</v>
      </c>
      <c r="U18" s="2" t="e">
        <f ca="1">IF(D18&gt;-1,"F",#REF!)</f>
        <v>#REF!</v>
      </c>
    </row>
    <row r="19" spans="1:21" s="7" customFormat="1" ht="18.399999999999999" thickBot="1" x14ac:dyDescent="0.5">
      <c r="A19" s="18"/>
      <c r="B19" s="20"/>
      <c r="C19" s="17" t="str">
        <f t="shared" si="0"/>
        <v>@live.napier.ac.uk</v>
      </c>
      <c r="D19" s="10" t="e">
        <f t="shared" ca="1" si="13"/>
        <v>#REF!</v>
      </c>
      <c r="E19" s="5" t="e">
        <f t="shared" ca="1" si="14"/>
        <v>#REF!</v>
      </c>
      <c r="F19" s="5" t="e">
        <f t="shared" ca="1" si="15"/>
        <v>#REF!</v>
      </c>
      <c r="G19" s="5" t="e">
        <f t="shared" ca="1" si="16"/>
        <v>#REF!</v>
      </c>
      <c r="H19" s="15" t="e">
        <f t="shared" ca="1" si="17"/>
        <v>#REF!</v>
      </c>
      <c r="I19" s="2" t="e">
        <f t="shared" ca="1" si="1"/>
        <v>#REF!</v>
      </c>
      <c r="J19" s="2" t="e">
        <f t="shared" ca="1" si="2"/>
        <v>#REF!</v>
      </c>
      <c r="K19" s="2" t="e">
        <f t="shared" ca="1" si="3"/>
        <v>#REF!</v>
      </c>
      <c r="L19" s="2" t="e">
        <f t="shared" ca="1" si="4"/>
        <v>#REF!</v>
      </c>
      <c r="M19" s="2" t="e">
        <f t="shared" ca="1" si="5"/>
        <v>#REF!</v>
      </c>
      <c r="N19" s="2" t="e">
        <f t="shared" ca="1" si="6"/>
        <v>#REF!</v>
      </c>
      <c r="O19" s="2" t="e">
        <f t="shared" ca="1" si="7"/>
        <v>#REF!</v>
      </c>
      <c r="P19" s="2" t="e">
        <f t="shared" ca="1" si="8"/>
        <v>#REF!</v>
      </c>
      <c r="Q19" s="2" t="e">
        <f t="shared" ca="1" si="9"/>
        <v>#REF!</v>
      </c>
      <c r="R19" s="2" t="e">
        <f t="shared" ca="1" si="10"/>
        <v>#REF!</v>
      </c>
      <c r="S19" s="2" t="e">
        <f t="shared" ca="1" si="11"/>
        <v>#REF!</v>
      </c>
      <c r="T19" s="2" t="e">
        <f t="shared" ca="1" si="12"/>
        <v>#REF!</v>
      </c>
      <c r="U19" s="2" t="e">
        <f ca="1">IF(D19&gt;-1,"F",#REF!)</f>
        <v>#REF!</v>
      </c>
    </row>
    <row r="20" spans="1:21" ht="18.399999999999999" thickBot="1" x14ac:dyDescent="0.5">
      <c r="A20" s="18"/>
      <c r="B20" s="20"/>
      <c r="C20" s="17" t="str">
        <f t="shared" si="0"/>
        <v>@live.napier.ac.uk</v>
      </c>
      <c r="D20" s="10" t="e">
        <f t="shared" ca="1" si="13"/>
        <v>#REF!</v>
      </c>
      <c r="E20" s="5" t="e">
        <f t="shared" ca="1" si="14"/>
        <v>#REF!</v>
      </c>
      <c r="F20" s="5" t="e">
        <f t="shared" ca="1" si="15"/>
        <v>#REF!</v>
      </c>
      <c r="G20" s="5" t="e">
        <f t="shared" ca="1" si="16"/>
        <v>#REF!</v>
      </c>
      <c r="H20" s="15" t="e">
        <f t="shared" ca="1" si="17"/>
        <v>#REF!</v>
      </c>
      <c r="I20" s="2" t="e">
        <f t="shared" ca="1" si="1"/>
        <v>#REF!</v>
      </c>
      <c r="J20" s="2" t="e">
        <f t="shared" ca="1" si="2"/>
        <v>#REF!</v>
      </c>
      <c r="K20" s="2" t="e">
        <f t="shared" ca="1" si="3"/>
        <v>#REF!</v>
      </c>
      <c r="L20" s="2" t="e">
        <f t="shared" ca="1" si="4"/>
        <v>#REF!</v>
      </c>
      <c r="M20" s="2" t="e">
        <f t="shared" ca="1" si="5"/>
        <v>#REF!</v>
      </c>
      <c r="N20" s="2" t="e">
        <f t="shared" ca="1" si="6"/>
        <v>#REF!</v>
      </c>
      <c r="O20" s="2" t="e">
        <f t="shared" ca="1" si="7"/>
        <v>#REF!</v>
      </c>
      <c r="P20" s="2" t="e">
        <f t="shared" ca="1" si="8"/>
        <v>#REF!</v>
      </c>
      <c r="Q20" s="2" t="e">
        <f t="shared" ca="1" si="9"/>
        <v>#REF!</v>
      </c>
      <c r="R20" s="2" t="e">
        <f t="shared" ca="1" si="10"/>
        <v>#REF!</v>
      </c>
      <c r="S20" s="2" t="e">
        <f t="shared" ca="1" si="11"/>
        <v>#REF!</v>
      </c>
      <c r="T20" s="2" t="e">
        <f t="shared" ca="1" si="12"/>
        <v>#REF!</v>
      </c>
      <c r="U20" s="2" t="e">
        <f ca="1">IF(D20&gt;-1,"F",#REF!)</f>
        <v>#REF!</v>
      </c>
    </row>
    <row r="21" spans="1:21" ht="18.399999999999999" thickBot="1" x14ac:dyDescent="0.5">
      <c r="A21" s="18"/>
      <c r="B21" s="19"/>
      <c r="C21" s="17" t="str">
        <f t="shared" si="0"/>
        <v>@live.napier.ac.uk</v>
      </c>
      <c r="D21" s="10" t="e">
        <f t="shared" ca="1" si="13"/>
        <v>#REF!</v>
      </c>
      <c r="E21" s="5" t="e">
        <f t="shared" ca="1" si="14"/>
        <v>#REF!</v>
      </c>
      <c r="F21" s="5" t="e">
        <f t="shared" ca="1" si="15"/>
        <v>#REF!</v>
      </c>
      <c r="G21" s="5" t="e">
        <f t="shared" ca="1" si="16"/>
        <v>#REF!</v>
      </c>
      <c r="H21" s="15" t="e">
        <f t="shared" ca="1" si="17"/>
        <v>#REF!</v>
      </c>
      <c r="I21" s="2" t="e">
        <f t="shared" ca="1" si="1"/>
        <v>#REF!</v>
      </c>
      <c r="J21" s="2" t="e">
        <f t="shared" ca="1" si="2"/>
        <v>#REF!</v>
      </c>
      <c r="K21" s="2" t="e">
        <f t="shared" ca="1" si="3"/>
        <v>#REF!</v>
      </c>
      <c r="L21" s="2" t="e">
        <f t="shared" ca="1" si="4"/>
        <v>#REF!</v>
      </c>
      <c r="M21" s="2" t="e">
        <f t="shared" ca="1" si="5"/>
        <v>#REF!</v>
      </c>
      <c r="N21" s="2" t="e">
        <f t="shared" ca="1" si="6"/>
        <v>#REF!</v>
      </c>
      <c r="O21" s="2" t="e">
        <f t="shared" ca="1" si="7"/>
        <v>#REF!</v>
      </c>
      <c r="P21" s="2" t="e">
        <f t="shared" ca="1" si="8"/>
        <v>#REF!</v>
      </c>
      <c r="Q21" s="2" t="e">
        <f t="shared" ca="1" si="9"/>
        <v>#REF!</v>
      </c>
      <c r="R21" s="2" t="e">
        <f t="shared" ca="1" si="10"/>
        <v>#REF!</v>
      </c>
      <c r="S21" s="2" t="e">
        <f t="shared" ca="1" si="11"/>
        <v>#REF!</v>
      </c>
      <c r="T21" s="2" t="e">
        <f t="shared" ca="1" si="12"/>
        <v>#REF!</v>
      </c>
      <c r="U21" s="2" t="e">
        <f ca="1">IF(D21&gt;-1,"F",#REF!)</f>
        <v>#REF!</v>
      </c>
    </row>
    <row r="22" spans="1:21" ht="18.399999999999999" thickBot="1" x14ac:dyDescent="0.5">
      <c r="A22" s="21"/>
      <c r="B22" s="20"/>
      <c r="C22" s="17" t="str">
        <f t="shared" si="0"/>
        <v>@live.napier.ac.uk</v>
      </c>
      <c r="D22" s="10" t="e">
        <f t="shared" ca="1" si="13"/>
        <v>#REF!</v>
      </c>
      <c r="E22" s="5" t="e">
        <f t="shared" ca="1" si="14"/>
        <v>#REF!</v>
      </c>
      <c r="F22" s="5" t="e">
        <f t="shared" ca="1" si="15"/>
        <v>#REF!</v>
      </c>
      <c r="G22" s="5" t="e">
        <f t="shared" ca="1" si="16"/>
        <v>#REF!</v>
      </c>
      <c r="H22" s="15" t="e">
        <f t="shared" ca="1" si="17"/>
        <v>#REF!</v>
      </c>
      <c r="I22" s="2" t="e">
        <f t="shared" ca="1" si="1"/>
        <v>#REF!</v>
      </c>
      <c r="J22" s="2" t="e">
        <f t="shared" ca="1" si="2"/>
        <v>#REF!</v>
      </c>
      <c r="K22" s="2" t="e">
        <f t="shared" ca="1" si="3"/>
        <v>#REF!</v>
      </c>
      <c r="L22" s="2" t="e">
        <f t="shared" ca="1" si="4"/>
        <v>#REF!</v>
      </c>
      <c r="M22" s="2" t="e">
        <f t="shared" ca="1" si="5"/>
        <v>#REF!</v>
      </c>
      <c r="N22" s="2" t="e">
        <f t="shared" ca="1" si="6"/>
        <v>#REF!</v>
      </c>
      <c r="O22" s="2" t="e">
        <f t="shared" ca="1" si="7"/>
        <v>#REF!</v>
      </c>
      <c r="P22" s="2" t="e">
        <f t="shared" ca="1" si="8"/>
        <v>#REF!</v>
      </c>
      <c r="Q22" s="2" t="e">
        <f t="shared" ca="1" si="9"/>
        <v>#REF!</v>
      </c>
      <c r="R22" s="2" t="e">
        <f t="shared" ca="1" si="10"/>
        <v>#REF!</v>
      </c>
      <c r="S22" s="2" t="e">
        <f t="shared" ca="1" si="11"/>
        <v>#REF!</v>
      </c>
      <c r="T22" s="2" t="e">
        <f t="shared" ca="1" si="12"/>
        <v>#REF!</v>
      </c>
      <c r="U22" s="2" t="e">
        <f ca="1">IF(D22&gt;-1,"F",#REF!)</f>
        <v>#REF!</v>
      </c>
    </row>
    <row r="23" spans="1:21" ht="18.399999999999999" thickBot="1" x14ac:dyDescent="0.5">
      <c r="A23" s="21"/>
      <c r="B23" s="20"/>
      <c r="C23" s="17" t="str">
        <f t="shared" si="0"/>
        <v>@live.napier.ac.uk</v>
      </c>
      <c r="D23" s="10" t="e">
        <f t="shared" ca="1" si="13"/>
        <v>#REF!</v>
      </c>
      <c r="E23" s="5" t="e">
        <f t="shared" ca="1" si="14"/>
        <v>#REF!</v>
      </c>
      <c r="F23" s="5" t="e">
        <f t="shared" ca="1" si="15"/>
        <v>#REF!</v>
      </c>
      <c r="G23" s="5" t="e">
        <f t="shared" ca="1" si="16"/>
        <v>#REF!</v>
      </c>
      <c r="H23" s="15" t="e">
        <f t="shared" ca="1" si="17"/>
        <v>#REF!</v>
      </c>
      <c r="I23" s="2" t="e">
        <f t="shared" ca="1" si="1"/>
        <v>#REF!</v>
      </c>
      <c r="J23" s="2" t="e">
        <f t="shared" ca="1" si="2"/>
        <v>#REF!</v>
      </c>
      <c r="K23" s="2" t="e">
        <f t="shared" ca="1" si="3"/>
        <v>#REF!</v>
      </c>
      <c r="L23" s="2" t="e">
        <f t="shared" ca="1" si="4"/>
        <v>#REF!</v>
      </c>
      <c r="M23" s="2" t="e">
        <f t="shared" ca="1" si="5"/>
        <v>#REF!</v>
      </c>
      <c r="N23" s="2" t="e">
        <f t="shared" ca="1" si="6"/>
        <v>#REF!</v>
      </c>
      <c r="O23" s="2" t="e">
        <f t="shared" ca="1" si="7"/>
        <v>#REF!</v>
      </c>
      <c r="P23" s="2" t="e">
        <f t="shared" ca="1" si="8"/>
        <v>#REF!</v>
      </c>
      <c r="Q23" s="2" t="e">
        <f t="shared" ca="1" si="9"/>
        <v>#REF!</v>
      </c>
      <c r="R23" s="2" t="e">
        <f t="shared" ca="1" si="10"/>
        <v>#REF!</v>
      </c>
      <c r="S23" s="2" t="e">
        <f t="shared" ca="1" si="11"/>
        <v>#REF!</v>
      </c>
      <c r="T23" s="2" t="e">
        <f t="shared" ca="1" si="12"/>
        <v>#REF!</v>
      </c>
      <c r="U23" s="2" t="e">
        <f ca="1">IF(D23&gt;-1,"F",#REF!)</f>
        <v>#REF!</v>
      </c>
    </row>
    <row r="24" spans="1:21" ht="18.399999999999999" thickBot="1" x14ac:dyDescent="0.5">
      <c r="A24" s="21"/>
      <c r="B24" s="19"/>
      <c r="C24" s="17" t="str">
        <f t="shared" si="0"/>
        <v>@live.napier.ac.uk</v>
      </c>
      <c r="D24" s="10" t="e">
        <f t="shared" ca="1" si="13"/>
        <v>#REF!</v>
      </c>
      <c r="E24" s="5" t="e">
        <f t="shared" ca="1" si="14"/>
        <v>#REF!</v>
      </c>
      <c r="F24" s="5" t="e">
        <f t="shared" ca="1" si="15"/>
        <v>#REF!</v>
      </c>
      <c r="G24" s="5" t="e">
        <f t="shared" ca="1" si="16"/>
        <v>#REF!</v>
      </c>
      <c r="H24" s="15" t="e">
        <f t="shared" ca="1" si="17"/>
        <v>#REF!</v>
      </c>
      <c r="I24" s="2" t="e">
        <f t="shared" ca="1" si="1"/>
        <v>#REF!</v>
      </c>
      <c r="J24" s="2" t="e">
        <f t="shared" ca="1" si="2"/>
        <v>#REF!</v>
      </c>
      <c r="K24" s="2" t="e">
        <f t="shared" ca="1" si="3"/>
        <v>#REF!</v>
      </c>
      <c r="L24" s="2" t="e">
        <f t="shared" ca="1" si="4"/>
        <v>#REF!</v>
      </c>
      <c r="M24" s="2" t="e">
        <f t="shared" ca="1" si="5"/>
        <v>#REF!</v>
      </c>
      <c r="N24" s="2" t="e">
        <f t="shared" ca="1" si="6"/>
        <v>#REF!</v>
      </c>
      <c r="O24" s="2" t="e">
        <f t="shared" ca="1" si="7"/>
        <v>#REF!</v>
      </c>
      <c r="P24" s="2" t="e">
        <f t="shared" ca="1" si="8"/>
        <v>#REF!</v>
      </c>
      <c r="Q24" s="2" t="e">
        <f t="shared" ca="1" si="9"/>
        <v>#REF!</v>
      </c>
      <c r="R24" s="2" t="e">
        <f t="shared" ca="1" si="10"/>
        <v>#REF!</v>
      </c>
      <c r="S24" s="2" t="e">
        <f t="shared" ca="1" si="11"/>
        <v>#REF!</v>
      </c>
      <c r="T24" s="2" t="e">
        <f t="shared" ca="1" si="12"/>
        <v>#REF!</v>
      </c>
      <c r="U24" s="2" t="e">
        <f ca="1">IF(D24&gt;-1,"F",#REF!)</f>
        <v>#REF!</v>
      </c>
    </row>
    <row r="25" spans="1:21" ht="18.399999999999999" thickBot="1" x14ac:dyDescent="0.5">
      <c r="A25" s="21"/>
      <c r="B25" s="20"/>
      <c r="C25" s="17" t="str">
        <f t="shared" si="0"/>
        <v>@live.napier.ac.uk</v>
      </c>
      <c r="D25" s="10" t="e">
        <f t="shared" ca="1" si="13"/>
        <v>#REF!</v>
      </c>
      <c r="E25" s="5" t="e">
        <f t="shared" ca="1" si="14"/>
        <v>#REF!</v>
      </c>
      <c r="F25" s="5" t="e">
        <f t="shared" ca="1" si="15"/>
        <v>#REF!</v>
      </c>
      <c r="G25" s="5" t="e">
        <f t="shared" ca="1" si="16"/>
        <v>#REF!</v>
      </c>
      <c r="H25" s="15" t="e">
        <f t="shared" ca="1" si="17"/>
        <v>#REF!</v>
      </c>
      <c r="I25" s="2" t="e">
        <f t="shared" ca="1" si="1"/>
        <v>#REF!</v>
      </c>
      <c r="J25" s="2" t="e">
        <f t="shared" ca="1" si="2"/>
        <v>#REF!</v>
      </c>
      <c r="K25" s="2" t="e">
        <f t="shared" ca="1" si="3"/>
        <v>#REF!</v>
      </c>
      <c r="L25" s="2" t="e">
        <f t="shared" ca="1" si="4"/>
        <v>#REF!</v>
      </c>
      <c r="M25" s="2" t="e">
        <f t="shared" ca="1" si="5"/>
        <v>#REF!</v>
      </c>
      <c r="N25" s="2" t="e">
        <f t="shared" ca="1" si="6"/>
        <v>#REF!</v>
      </c>
      <c r="O25" s="2" t="e">
        <f t="shared" ca="1" si="7"/>
        <v>#REF!</v>
      </c>
      <c r="P25" s="2" t="e">
        <f t="shared" ca="1" si="8"/>
        <v>#REF!</v>
      </c>
      <c r="Q25" s="2" t="e">
        <f t="shared" ca="1" si="9"/>
        <v>#REF!</v>
      </c>
      <c r="R25" s="2" t="e">
        <f t="shared" ca="1" si="10"/>
        <v>#REF!</v>
      </c>
      <c r="S25" s="2" t="e">
        <f t="shared" ca="1" si="11"/>
        <v>#REF!</v>
      </c>
      <c r="T25" s="2" t="e">
        <f t="shared" ca="1" si="12"/>
        <v>#REF!</v>
      </c>
      <c r="U25" s="2" t="e">
        <f ca="1">IF(D25&gt;-1,"F",#REF!)</f>
        <v>#REF!</v>
      </c>
    </row>
    <row r="26" spans="1:21" ht="18.399999999999999" thickBot="1" x14ac:dyDescent="0.5">
      <c r="A26" s="21"/>
      <c r="B26" s="20"/>
      <c r="C26" s="17" t="str">
        <f t="shared" ref="C26:C60" si="18">CONCATENATE(B26,"@live.napier.ac.uk")</f>
        <v>@live.napier.ac.uk</v>
      </c>
      <c r="D26" s="10" t="e">
        <f t="shared" ca="1" si="13"/>
        <v>#REF!</v>
      </c>
      <c r="E26" s="5" t="e">
        <f t="shared" ca="1" si="14"/>
        <v>#REF!</v>
      </c>
      <c r="F26" s="5" t="e">
        <f t="shared" ca="1" si="15"/>
        <v>#REF!</v>
      </c>
      <c r="G26" s="5" t="e">
        <f t="shared" ca="1" si="16"/>
        <v>#REF!</v>
      </c>
      <c r="H26" s="15" t="e">
        <f t="shared" ref="H26:H60" ca="1" si="19">AVERAGE(F26,D26)</f>
        <v>#REF!</v>
      </c>
      <c r="I26" s="2" t="e">
        <f t="shared" ref="I26:I60" ca="1" si="20">IF(D26&gt;74.49,"A",J26)</f>
        <v>#REF!</v>
      </c>
      <c r="J26" s="2" t="e">
        <f t="shared" ref="J26:J60" ca="1" si="21">IF(D26&gt;69.49,"A-",K26)</f>
        <v>#REF!</v>
      </c>
      <c r="K26" s="2" t="e">
        <f t="shared" ref="K26:K60" ca="1" si="22">IF(D26&gt;66.49,"B+",L26)</f>
        <v>#REF!</v>
      </c>
      <c r="L26" s="2" t="e">
        <f t="shared" ref="L26:L60" ca="1" si="23">IF(D26&gt;62.49,"B",M26)</f>
        <v>#REF!</v>
      </c>
      <c r="M26" s="2" t="e">
        <f t="shared" ref="M26:M60" ca="1" si="24">IF(D26&gt;59.49,"B-",N26)</f>
        <v>#REF!</v>
      </c>
      <c r="N26" s="2" t="e">
        <f t="shared" ref="N26:N60" ca="1" si="25">IF(D26&gt;56.49,"C+",O26)</f>
        <v>#REF!</v>
      </c>
      <c r="O26" s="2" t="e">
        <f t="shared" ref="O26:O60" ca="1" si="26">IF(D26&gt;52.49,"C",P26)</f>
        <v>#REF!</v>
      </c>
      <c r="P26" s="2" t="e">
        <f t="shared" ref="P26:P60" ca="1" si="27">IF(D26&gt;49.49,"C-",Q26)</f>
        <v>#REF!</v>
      </c>
      <c r="Q26" s="2" t="e">
        <f t="shared" ref="Q26:Q60" ca="1" si="28">IF(D26&gt;46.49,"D+",R26)</f>
        <v>#REF!</v>
      </c>
      <c r="R26" s="2" t="e">
        <f t="shared" ref="R26:R60" ca="1" si="29">IF(D26&gt;42.49,"D",S26)</f>
        <v>#REF!</v>
      </c>
      <c r="S26" s="2" t="e">
        <f t="shared" ref="S26:S60" ca="1" si="30">IF(D26&gt;39.49,"D-",T26)</f>
        <v>#REF!</v>
      </c>
      <c r="T26" s="2" t="e">
        <f t="shared" ref="T26:T60" ca="1" si="31">IF(D26&gt;30.49,"E",U26)</f>
        <v>#REF!</v>
      </c>
      <c r="U26" s="2" t="e">
        <f ca="1">IF(D26&gt;-1,"F",#REF!)</f>
        <v>#REF!</v>
      </c>
    </row>
    <row r="27" spans="1:21" ht="18.399999999999999" thickBot="1" x14ac:dyDescent="0.5">
      <c r="A27" s="18"/>
      <c r="B27" s="20"/>
      <c r="C27" s="17" t="str">
        <f t="shared" si="18"/>
        <v>@live.napier.ac.uk</v>
      </c>
      <c r="D27" s="10" t="e">
        <f t="shared" ca="1" si="13"/>
        <v>#REF!</v>
      </c>
      <c r="E27" s="5" t="e">
        <f t="shared" ca="1" si="14"/>
        <v>#REF!</v>
      </c>
      <c r="F27" s="5" t="e">
        <f t="shared" ca="1" si="15"/>
        <v>#REF!</v>
      </c>
      <c r="G27" s="5" t="e">
        <f t="shared" ca="1" si="16"/>
        <v>#REF!</v>
      </c>
      <c r="H27" s="15" t="e">
        <f t="shared" ca="1" si="19"/>
        <v>#REF!</v>
      </c>
      <c r="I27" s="2" t="e">
        <f t="shared" ca="1" si="20"/>
        <v>#REF!</v>
      </c>
      <c r="J27" s="2" t="e">
        <f t="shared" ca="1" si="21"/>
        <v>#REF!</v>
      </c>
      <c r="K27" s="2" t="e">
        <f t="shared" ca="1" si="22"/>
        <v>#REF!</v>
      </c>
      <c r="L27" s="2" t="e">
        <f t="shared" ca="1" si="23"/>
        <v>#REF!</v>
      </c>
      <c r="M27" s="2" t="e">
        <f t="shared" ca="1" si="24"/>
        <v>#REF!</v>
      </c>
      <c r="N27" s="2" t="e">
        <f t="shared" ca="1" si="25"/>
        <v>#REF!</v>
      </c>
      <c r="O27" s="2" t="e">
        <f t="shared" ca="1" si="26"/>
        <v>#REF!</v>
      </c>
      <c r="P27" s="2" t="e">
        <f t="shared" ca="1" si="27"/>
        <v>#REF!</v>
      </c>
      <c r="Q27" s="2" t="e">
        <f t="shared" ca="1" si="28"/>
        <v>#REF!</v>
      </c>
      <c r="R27" s="2" t="e">
        <f t="shared" ca="1" si="29"/>
        <v>#REF!</v>
      </c>
      <c r="S27" s="2" t="e">
        <f t="shared" ca="1" si="30"/>
        <v>#REF!</v>
      </c>
      <c r="T27" s="2" t="e">
        <f t="shared" ca="1" si="31"/>
        <v>#REF!</v>
      </c>
      <c r="U27" s="2" t="e">
        <f ca="1">IF(D27&gt;-1,"F",#REF!)</f>
        <v>#REF!</v>
      </c>
    </row>
    <row r="28" spans="1:21" ht="18.399999999999999" thickBot="1" x14ac:dyDescent="0.5">
      <c r="A28" s="18"/>
      <c r="B28" s="20"/>
      <c r="C28" s="17" t="str">
        <f t="shared" si="18"/>
        <v>@live.napier.ac.uk</v>
      </c>
      <c r="D28" s="10" t="e">
        <f t="shared" ca="1" si="13"/>
        <v>#REF!</v>
      </c>
      <c r="E28" s="5" t="e">
        <f t="shared" ca="1" si="14"/>
        <v>#REF!</v>
      </c>
      <c r="F28" s="5" t="e">
        <f t="shared" ca="1" si="15"/>
        <v>#REF!</v>
      </c>
      <c r="G28" s="5" t="e">
        <f t="shared" ca="1" si="16"/>
        <v>#REF!</v>
      </c>
      <c r="H28" s="15" t="e">
        <f t="shared" ca="1" si="19"/>
        <v>#REF!</v>
      </c>
      <c r="I28" s="2" t="e">
        <f t="shared" ca="1" si="20"/>
        <v>#REF!</v>
      </c>
      <c r="J28" s="2" t="e">
        <f t="shared" ca="1" si="21"/>
        <v>#REF!</v>
      </c>
      <c r="K28" s="2" t="e">
        <f t="shared" ca="1" si="22"/>
        <v>#REF!</v>
      </c>
      <c r="L28" s="2" t="e">
        <f t="shared" ca="1" si="23"/>
        <v>#REF!</v>
      </c>
      <c r="M28" s="2" t="e">
        <f t="shared" ca="1" si="24"/>
        <v>#REF!</v>
      </c>
      <c r="N28" s="2" t="e">
        <f t="shared" ca="1" si="25"/>
        <v>#REF!</v>
      </c>
      <c r="O28" s="2" t="e">
        <f t="shared" ca="1" si="26"/>
        <v>#REF!</v>
      </c>
      <c r="P28" s="2" t="e">
        <f t="shared" ca="1" si="27"/>
        <v>#REF!</v>
      </c>
      <c r="Q28" s="2" t="e">
        <f t="shared" ca="1" si="28"/>
        <v>#REF!</v>
      </c>
      <c r="R28" s="2" t="e">
        <f t="shared" ca="1" si="29"/>
        <v>#REF!</v>
      </c>
      <c r="S28" s="2" t="e">
        <f t="shared" ca="1" si="30"/>
        <v>#REF!</v>
      </c>
      <c r="T28" s="2" t="e">
        <f t="shared" ca="1" si="31"/>
        <v>#REF!</v>
      </c>
      <c r="U28" s="2" t="e">
        <f ca="1">IF(D28&gt;-1,"F",#REF!)</f>
        <v>#REF!</v>
      </c>
    </row>
    <row r="29" spans="1:21" ht="18.399999999999999" thickBot="1" x14ac:dyDescent="0.5">
      <c r="A29" s="18"/>
      <c r="B29" s="20"/>
      <c r="C29" s="17" t="str">
        <f t="shared" si="18"/>
        <v>@live.napier.ac.uk</v>
      </c>
      <c r="D29" s="10" t="e">
        <f t="shared" ca="1" si="13"/>
        <v>#REF!</v>
      </c>
      <c r="E29" s="5" t="e">
        <f t="shared" ca="1" si="14"/>
        <v>#REF!</v>
      </c>
      <c r="F29" s="5" t="e">
        <f t="shared" ca="1" si="15"/>
        <v>#REF!</v>
      </c>
      <c r="G29" s="5" t="e">
        <f t="shared" ca="1" si="16"/>
        <v>#REF!</v>
      </c>
      <c r="H29" s="15" t="e">
        <f t="shared" ca="1" si="19"/>
        <v>#REF!</v>
      </c>
      <c r="I29" s="2" t="e">
        <f t="shared" ca="1" si="20"/>
        <v>#REF!</v>
      </c>
      <c r="J29" s="2" t="e">
        <f t="shared" ca="1" si="21"/>
        <v>#REF!</v>
      </c>
      <c r="K29" s="2" t="e">
        <f t="shared" ca="1" si="22"/>
        <v>#REF!</v>
      </c>
      <c r="L29" s="2" t="e">
        <f t="shared" ca="1" si="23"/>
        <v>#REF!</v>
      </c>
      <c r="M29" s="2" t="e">
        <f t="shared" ca="1" si="24"/>
        <v>#REF!</v>
      </c>
      <c r="N29" s="2" t="e">
        <f t="shared" ca="1" si="25"/>
        <v>#REF!</v>
      </c>
      <c r="O29" s="2" t="e">
        <f t="shared" ca="1" si="26"/>
        <v>#REF!</v>
      </c>
      <c r="P29" s="2" t="e">
        <f t="shared" ca="1" si="27"/>
        <v>#REF!</v>
      </c>
      <c r="Q29" s="2" t="e">
        <f t="shared" ca="1" si="28"/>
        <v>#REF!</v>
      </c>
      <c r="R29" s="2" t="e">
        <f t="shared" ca="1" si="29"/>
        <v>#REF!</v>
      </c>
      <c r="S29" s="2" t="e">
        <f t="shared" ca="1" si="30"/>
        <v>#REF!</v>
      </c>
      <c r="T29" s="2" t="e">
        <f t="shared" ca="1" si="31"/>
        <v>#REF!</v>
      </c>
      <c r="U29" s="2" t="e">
        <f ca="1">IF(D29&gt;-1,"F",#REF!)</f>
        <v>#REF!</v>
      </c>
    </row>
    <row r="30" spans="1:21" ht="18.399999999999999" thickBot="1" x14ac:dyDescent="0.5">
      <c r="A30" s="18"/>
      <c r="B30" s="20"/>
      <c r="C30" s="17" t="str">
        <f t="shared" si="18"/>
        <v>@live.napier.ac.uk</v>
      </c>
      <c r="D30" s="10" t="e">
        <f t="shared" ca="1" si="13"/>
        <v>#REF!</v>
      </c>
      <c r="E30" s="5" t="e">
        <f t="shared" ca="1" si="14"/>
        <v>#REF!</v>
      </c>
      <c r="F30" s="5" t="e">
        <f t="shared" ca="1" si="15"/>
        <v>#REF!</v>
      </c>
      <c r="G30" s="5" t="e">
        <f t="shared" ca="1" si="16"/>
        <v>#REF!</v>
      </c>
      <c r="H30" s="15" t="e">
        <f t="shared" ca="1" si="19"/>
        <v>#REF!</v>
      </c>
      <c r="I30" s="2" t="e">
        <f t="shared" ca="1" si="20"/>
        <v>#REF!</v>
      </c>
      <c r="J30" s="2" t="e">
        <f t="shared" ca="1" si="21"/>
        <v>#REF!</v>
      </c>
      <c r="K30" s="2" t="e">
        <f t="shared" ca="1" si="22"/>
        <v>#REF!</v>
      </c>
      <c r="L30" s="2" t="e">
        <f t="shared" ca="1" si="23"/>
        <v>#REF!</v>
      </c>
      <c r="M30" s="2" t="e">
        <f t="shared" ca="1" si="24"/>
        <v>#REF!</v>
      </c>
      <c r="N30" s="2" t="e">
        <f t="shared" ca="1" si="25"/>
        <v>#REF!</v>
      </c>
      <c r="O30" s="2" t="e">
        <f t="shared" ca="1" si="26"/>
        <v>#REF!</v>
      </c>
      <c r="P30" s="2" t="e">
        <f t="shared" ca="1" si="27"/>
        <v>#REF!</v>
      </c>
      <c r="Q30" s="2" t="e">
        <f t="shared" ca="1" si="28"/>
        <v>#REF!</v>
      </c>
      <c r="R30" s="2" t="e">
        <f t="shared" ca="1" si="29"/>
        <v>#REF!</v>
      </c>
      <c r="S30" s="2" t="e">
        <f t="shared" ca="1" si="30"/>
        <v>#REF!</v>
      </c>
      <c r="T30" s="2" t="e">
        <f t="shared" ca="1" si="31"/>
        <v>#REF!</v>
      </c>
      <c r="U30" s="2" t="e">
        <f ca="1">IF(D30&gt;-1,"F",#REF!)</f>
        <v>#REF!</v>
      </c>
    </row>
    <row r="31" spans="1:21" ht="18.399999999999999" thickBot="1" x14ac:dyDescent="0.5">
      <c r="A31" s="18"/>
      <c r="B31" s="19"/>
      <c r="C31" s="17" t="str">
        <f t="shared" si="18"/>
        <v>@live.napier.ac.uk</v>
      </c>
      <c r="D31" s="10" t="e">
        <f t="shared" ca="1" si="13"/>
        <v>#REF!</v>
      </c>
      <c r="E31" s="5" t="e">
        <f t="shared" ca="1" si="14"/>
        <v>#REF!</v>
      </c>
      <c r="F31" s="5" t="e">
        <f t="shared" ca="1" si="15"/>
        <v>#REF!</v>
      </c>
      <c r="G31" s="5" t="e">
        <f t="shared" ca="1" si="16"/>
        <v>#REF!</v>
      </c>
      <c r="H31" s="15" t="e">
        <f t="shared" ca="1" si="19"/>
        <v>#REF!</v>
      </c>
      <c r="I31" s="2" t="e">
        <f t="shared" ca="1" si="20"/>
        <v>#REF!</v>
      </c>
      <c r="J31" s="2" t="e">
        <f t="shared" ca="1" si="21"/>
        <v>#REF!</v>
      </c>
      <c r="K31" s="2" t="e">
        <f t="shared" ca="1" si="22"/>
        <v>#REF!</v>
      </c>
      <c r="L31" s="2" t="e">
        <f t="shared" ca="1" si="23"/>
        <v>#REF!</v>
      </c>
      <c r="M31" s="2" t="e">
        <f t="shared" ca="1" si="24"/>
        <v>#REF!</v>
      </c>
      <c r="N31" s="2" t="e">
        <f t="shared" ca="1" si="25"/>
        <v>#REF!</v>
      </c>
      <c r="O31" s="2" t="e">
        <f t="shared" ca="1" si="26"/>
        <v>#REF!</v>
      </c>
      <c r="P31" s="2" t="e">
        <f t="shared" ca="1" si="27"/>
        <v>#REF!</v>
      </c>
      <c r="Q31" s="2" t="e">
        <f t="shared" ca="1" si="28"/>
        <v>#REF!</v>
      </c>
      <c r="R31" s="2" t="e">
        <f t="shared" ca="1" si="29"/>
        <v>#REF!</v>
      </c>
      <c r="S31" s="2" t="e">
        <f t="shared" ca="1" si="30"/>
        <v>#REF!</v>
      </c>
      <c r="T31" s="2" t="e">
        <f t="shared" ca="1" si="31"/>
        <v>#REF!</v>
      </c>
      <c r="U31" s="2" t="e">
        <f ca="1">IF(D31&gt;-1,"F",#REF!)</f>
        <v>#REF!</v>
      </c>
    </row>
    <row r="32" spans="1:21" ht="18.399999999999999" thickBot="1" x14ac:dyDescent="0.5">
      <c r="A32" s="21"/>
      <c r="B32" s="22"/>
      <c r="C32" s="17" t="str">
        <f t="shared" si="18"/>
        <v>@live.napier.ac.uk</v>
      </c>
      <c r="D32" s="10" t="e">
        <f t="shared" ca="1" si="13"/>
        <v>#REF!</v>
      </c>
      <c r="E32" s="5" t="e">
        <f t="shared" ca="1" si="14"/>
        <v>#REF!</v>
      </c>
      <c r="F32" s="5" t="e">
        <f t="shared" ca="1" si="15"/>
        <v>#REF!</v>
      </c>
      <c r="G32" s="5" t="e">
        <f t="shared" ca="1" si="16"/>
        <v>#REF!</v>
      </c>
      <c r="H32" s="15" t="e">
        <f t="shared" ca="1" si="19"/>
        <v>#REF!</v>
      </c>
      <c r="I32" s="2" t="e">
        <f t="shared" ca="1" si="20"/>
        <v>#REF!</v>
      </c>
      <c r="J32" s="2" t="e">
        <f t="shared" ca="1" si="21"/>
        <v>#REF!</v>
      </c>
      <c r="K32" s="2" t="e">
        <f t="shared" ca="1" si="22"/>
        <v>#REF!</v>
      </c>
      <c r="L32" s="2" t="e">
        <f t="shared" ca="1" si="23"/>
        <v>#REF!</v>
      </c>
      <c r="M32" s="2" t="e">
        <f t="shared" ca="1" si="24"/>
        <v>#REF!</v>
      </c>
      <c r="N32" s="2" t="e">
        <f t="shared" ca="1" si="25"/>
        <v>#REF!</v>
      </c>
      <c r="O32" s="2" t="e">
        <f t="shared" ca="1" si="26"/>
        <v>#REF!</v>
      </c>
      <c r="P32" s="2" t="e">
        <f t="shared" ca="1" si="27"/>
        <v>#REF!</v>
      </c>
      <c r="Q32" s="2" t="e">
        <f t="shared" ca="1" si="28"/>
        <v>#REF!</v>
      </c>
      <c r="R32" s="2" t="e">
        <f t="shared" ca="1" si="29"/>
        <v>#REF!</v>
      </c>
      <c r="S32" s="2" t="e">
        <f t="shared" ca="1" si="30"/>
        <v>#REF!</v>
      </c>
      <c r="T32" s="2" t="e">
        <f t="shared" ca="1" si="31"/>
        <v>#REF!</v>
      </c>
      <c r="U32" s="2" t="e">
        <f ca="1">IF(D32&gt;-1,"F",#REF!)</f>
        <v>#REF!</v>
      </c>
    </row>
    <row r="33" spans="1:21" ht="18.399999999999999" thickBot="1" x14ac:dyDescent="0.5">
      <c r="A33" s="21"/>
      <c r="B33" s="20"/>
      <c r="C33" s="17" t="str">
        <f t="shared" si="18"/>
        <v>@live.napier.ac.uk</v>
      </c>
      <c r="D33" s="10" t="e">
        <f t="shared" ca="1" si="13"/>
        <v>#REF!</v>
      </c>
      <c r="E33" s="5" t="e">
        <f t="shared" ca="1" si="14"/>
        <v>#REF!</v>
      </c>
      <c r="F33" s="5" t="e">
        <f t="shared" ca="1" si="15"/>
        <v>#REF!</v>
      </c>
      <c r="G33" s="5" t="e">
        <f t="shared" ca="1" si="16"/>
        <v>#REF!</v>
      </c>
      <c r="H33" s="15" t="e">
        <f t="shared" ca="1" si="19"/>
        <v>#REF!</v>
      </c>
      <c r="I33" s="2" t="e">
        <f t="shared" ca="1" si="20"/>
        <v>#REF!</v>
      </c>
      <c r="J33" s="2" t="e">
        <f t="shared" ca="1" si="21"/>
        <v>#REF!</v>
      </c>
      <c r="K33" s="2" t="e">
        <f t="shared" ca="1" si="22"/>
        <v>#REF!</v>
      </c>
      <c r="L33" s="2" t="e">
        <f t="shared" ca="1" si="23"/>
        <v>#REF!</v>
      </c>
      <c r="M33" s="2" t="e">
        <f t="shared" ca="1" si="24"/>
        <v>#REF!</v>
      </c>
      <c r="N33" s="2" t="e">
        <f t="shared" ca="1" si="25"/>
        <v>#REF!</v>
      </c>
      <c r="O33" s="2" t="e">
        <f t="shared" ca="1" si="26"/>
        <v>#REF!</v>
      </c>
      <c r="P33" s="2" t="e">
        <f t="shared" ca="1" si="27"/>
        <v>#REF!</v>
      </c>
      <c r="Q33" s="2" t="e">
        <f t="shared" ca="1" si="28"/>
        <v>#REF!</v>
      </c>
      <c r="R33" s="2" t="e">
        <f t="shared" ca="1" si="29"/>
        <v>#REF!</v>
      </c>
      <c r="S33" s="2" t="e">
        <f t="shared" ca="1" si="30"/>
        <v>#REF!</v>
      </c>
      <c r="T33" s="2" t="e">
        <f t="shared" ca="1" si="31"/>
        <v>#REF!</v>
      </c>
      <c r="U33" s="2" t="e">
        <f ca="1">IF(D33&gt;-1,"F",#REF!)</f>
        <v>#REF!</v>
      </c>
    </row>
    <row r="34" spans="1:21" ht="18.399999999999999" thickBot="1" x14ac:dyDescent="0.5">
      <c r="A34" s="21"/>
      <c r="B34" s="19"/>
      <c r="C34" s="17" t="str">
        <f t="shared" si="18"/>
        <v>@live.napier.ac.uk</v>
      </c>
      <c r="D34" s="10" t="e">
        <f t="shared" ca="1" si="13"/>
        <v>#REF!</v>
      </c>
      <c r="E34" s="5" t="e">
        <f t="shared" ca="1" si="14"/>
        <v>#REF!</v>
      </c>
      <c r="F34" s="5" t="e">
        <f t="shared" ca="1" si="15"/>
        <v>#REF!</v>
      </c>
      <c r="G34" s="5" t="e">
        <f t="shared" ca="1" si="16"/>
        <v>#REF!</v>
      </c>
      <c r="H34" s="15" t="e">
        <f t="shared" ca="1" si="19"/>
        <v>#REF!</v>
      </c>
      <c r="I34" s="2" t="e">
        <f t="shared" ca="1" si="20"/>
        <v>#REF!</v>
      </c>
      <c r="J34" s="2" t="e">
        <f t="shared" ca="1" si="21"/>
        <v>#REF!</v>
      </c>
      <c r="K34" s="2" t="e">
        <f t="shared" ca="1" si="22"/>
        <v>#REF!</v>
      </c>
      <c r="L34" s="2" t="e">
        <f t="shared" ca="1" si="23"/>
        <v>#REF!</v>
      </c>
      <c r="M34" s="2" t="e">
        <f t="shared" ca="1" si="24"/>
        <v>#REF!</v>
      </c>
      <c r="N34" s="2" t="e">
        <f t="shared" ca="1" si="25"/>
        <v>#REF!</v>
      </c>
      <c r="O34" s="2" t="e">
        <f t="shared" ca="1" si="26"/>
        <v>#REF!</v>
      </c>
      <c r="P34" s="2" t="e">
        <f t="shared" ca="1" si="27"/>
        <v>#REF!</v>
      </c>
      <c r="Q34" s="2" t="e">
        <f t="shared" ca="1" si="28"/>
        <v>#REF!</v>
      </c>
      <c r="R34" s="2" t="e">
        <f t="shared" ca="1" si="29"/>
        <v>#REF!</v>
      </c>
      <c r="S34" s="2" t="e">
        <f t="shared" ca="1" si="30"/>
        <v>#REF!</v>
      </c>
      <c r="T34" s="2" t="e">
        <f t="shared" ca="1" si="31"/>
        <v>#REF!</v>
      </c>
      <c r="U34" s="2" t="e">
        <f ca="1">IF(D34&gt;-1,"F",#REF!)</f>
        <v>#REF!</v>
      </c>
    </row>
    <row r="35" spans="1:21" ht="18.399999999999999" thickBot="1" x14ac:dyDescent="0.5">
      <c r="A35" s="21"/>
      <c r="B35" s="19"/>
      <c r="C35" s="17" t="str">
        <f t="shared" si="18"/>
        <v>@live.napier.ac.uk</v>
      </c>
      <c r="D35" s="10" t="e">
        <f t="shared" ca="1" si="13"/>
        <v>#REF!</v>
      </c>
      <c r="E35" s="5" t="e">
        <f t="shared" ca="1" si="14"/>
        <v>#REF!</v>
      </c>
      <c r="F35" s="5" t="e">
        <f t="shared" ca="1" si="15"/>
        <v>#REF!</v>
      </c>
      <c r="G35" s="5" t="e">
        <f t="shared" ca="1" si="16"/>
        <v>#REF!</v>
      </c>
      <c r="H35" s="15" t="e">
        <f t="shared" ca="1" si="19"/>
        <v>#REF!</v>
      </c>
      <c r="I35" s="2" t="e">
        <f t="shared" ca="1" si="20"/>
        <v>#REF!</v>
      </c>
      <c r="J35" s="2" t="e">
        <f t="shared" ca="1" si="21"/>
        <v>#REF!</v>
      </c>
      <c r="K35" s="2" t="e">
        <f t="shared" ca="1" si="22"/>
        <v>#REF!</v>
      </c>
      <c r="L35" s="2" t="e">
        <f t="shared" ca="1" si="23"/>
        <v>#REF!</v>
      </c>
      <c r="M35" s="2" t="e">
        <f t="shared" ca="1" si="24"/>
        <v>#REF!</v>
      </c>
      <c r="N35" s="2" t="e">
        <f t="shared" ca="1" si="25"/>
        <v>#REF!</v>
      </c>
      <c r="O35" s="2" t="e">
        <f t="shared" ca="1" si="26"/>
        <v>#REF!</v>
      </c>
      <c r="P35" s="2" t="e">
        <f t="shared" ca="1" si="27"/>
        <v>#REF!</v>
      </c>
      <c r="Q35" s="2" t="e">
        <f t="shared" ca="1" si="28"/>
        <v>#REF!</v>
      </c>
      <c r="R35" s="2" t="e">
        <f t="shared" ca="1" si="29"/>
        <v>#REF!</v>
      </c>
      <c r="S35" s="2" t="e">
        <f t="shared" ca="1" si="30"/>
        <v>#REF!</v>
      </c>
      <c r="T35" s="2" t="e">
        <f t="shared" ca="1" si="31"/>
        <v>#REF!</v>
      </c>
      <c r="U35" s="2" t="e">
        <f ca="1">IF(D35&gt;-1,"F",#REF!)</f>
        <v>#REF!</v>
      </c>
    </row>
    <row r="36" spans="1:21" ht="18.399999999999999" thickBot="1" x14ac:dyDescent="0.5">
      <c r="A36" s="21"/>
      <c r="B36" s="19"/>
      <c r="C36" s="17" t="str">
        <f t="shared" si="18"/>
        <v>@live.napier.ac.uk</v>
      </c>
      <c r="D36" s="10" t="e">
        <f t="shared" ca="1" si="13"/>
        <v>#REF!</v>
      </c>
      <c r="E36" s="5" t="e">
        <f t="shared" ca="1" si="14"/>
        <v>#REF!</v>
      </c>
      <c r="F36" s="5" t="e">
        <f t="shared" ca="1" si="15"/>
        <v>#REF!</v>
      </c>
      <c r="G36" s="5" t="e">
        <f t="shared" ca="1" si="16"/>
        <v>#REF!</v>
      </c>
      <c r="H36" s="15" t="e">
        <f t="shared" ca="1" si="19"/>
        <v>#REF!</v>
      </c>
      <c r="I36" s="2" t="e">
        <f t="shared" ca="1" si="20"/>
        <v>#REF!</v>
      </c>
      <c r="J36" s="2" t="e">
        <f t="shared" ca="1" si="21"/>
        <v>#REF!</v>
      </c>
      <c r="K36" s="2" t="e">
        <f t="shared" ca="1" si="22"/>
        <v>#REF!</v>
      </c>
      <c r="L36" s="2" t="e">
        <f t="shared" ca="1" si="23"/>
        <v>#REF!</v>
      </c>
      <c r="M36" s="2" t="e">
        <f t="shared" ca="1" si="24"/>
        <v>#REF!</v>
      </c>
      <c r="N36" s="2" t="e">
        <f t="shared" ca="1" si="25"/>
        <v>#REF!</v>
      </c>
      <c r="O36" s="2" t="e">
        <f t="shared" ca="1" si="26"/>
        <v>#REF!</v>
      </c>
      <c r="P36" s="2" t="e">
        <f t="shared" ca="1" si="27"/>
        <v>#REF!</v>
      </c>
      <c r="Q36" s="2" t="e">
        <f t="shared" ca="1" si="28"/>
        <v>#REF!</v>
      </c>
      <c r="R36" s="2" t="e">
        <f t="shared" ca="1" si="29"/>
        <v>#REF!</v>
      </c>
      <c r="S36" s="2" t="e">
        <f t="shared" ca="1" si="30"/>
        <v>#REF!</v>
      </c>
      <c r="T36" s="2" t="e">
        <f t="shared" ca="1" si="31"/>
        <v>#REF!</v>
      </c>
      <c r="U36" s="2" t="e">
        <f ca="1">IF(D36&gt;-1,"F",#REF!)</f>
        <v>#REF!</v>
      </c>
    </row>
    <row r="37" spans="1:21" ht="18.399999999999999" thickBot="1" x14ac:dyDescent="0.5">
      <c r="A37" s="13"/>
      <c r="B37" s="17"/>
      <c r="C37" s="17" t="str">
        <f t="shared" si="18"/>
        <v>@live.napier.ac.uk</v>
      </c>
      <c r="D37" s="10" t="e">
        <f t="shared" ca="1" si="13"/>
        <v>#REF!</v>
      </c>
      <c r="E37" s="5" t="e">
        <f t="shared" ca="1" si="14"/>
        <v>#REF!</v>
      </c>
      <c r="F37" s="5" t="e">
        <f t="shared" ca="1" si="15"/>
        <v>#REF!</v>
      </c>
      <c r="G37" s="5" t="e">
        <f t="shared" ca="1" si="16"/>
        <v>#REF!</v>
      </c>
      <c r="H37" s="15" t="e">
        <f t="shared" ca="1" si="19"/>
        <v>#REF!</v>
      </c>
      <c r="I37" s="2" t="e">
        <f t="shared" ca="1" si="20"/>
        <v>#REF!</v>
      </c>
      <c r="J37" s="2" t="e">
        <f t="shared" ca="1" si="21"/>
        <v>#REF!</v>
      </c>
      <c r="K37" s="2" t="e">
        <f t="shared" ca="1" si="22"/>
        <v>#REF!</v>
      </c>
      <c r="L37" s="2" t="e">
        <f t="shared" ca="1" si="23"/>
        <v>#REF!</v>
      </c>
      <c r="M37" s="2" t="e">
        <f t="shared" ca="1" si="24"/>
        <v>#REF!</v>
      </c>
      <c r="N37" s="2" t="e">
        <f t="shared" ca="1" si="25"/>
        <v>#REF!</v>
      </c>
      <c r="O37" s="2" t="e">
        <f t="shared" ca="1" si="26"/>
        <v>#REF!</v>
      </c>
      <c r="P37" s="2" t="e">
        <f t="shared" ca="1" si="27"/>
        <v>#REF!</v>
      </c>
      <c r="Q37" s="2" t="e">
        <f t="shared" ca="1" si="28"/>
        <v>#REF!</v>
      </c>
      <c r="R37" s="2" t="e">
        <f t="shared" ca="1" si="29"/>
        <v>#REF!</v>
      </c>
      <c r="S37" s="2" t="e">
        <f t="shared" ca="1" si="30"/>
        <v>#REF!</v>
      </c>
      <c r="T37" s="2" t="e">
        <f t="shared" ca="1" si="31"/>
        <v>#REF!</v>
      </c>
      <c r="U37" s="2" t="e">
        <f ca="1">IF(D37&gt;-1,"F",#REF!)</f>
        <v>#REF!</v>
      </c>
    </row>
    <row r="38" spans="1:21" ht="18.399999999999999" thickBot="1" x14ac:dyDescent="0.5">
      <c r="A38" s="13"/>
      <c r="B38" s="17"/>
      <c r="C38" s="17" t="str">
        <f t="shared" si="18"/>
        <v>@live.napier.ac.uk</v>
      </c>
      <c r="D38" s="10" t="e">
        <f t="shared" ca="1" si="13"/>
        <v>#REF!</v>
      </c>
      <c r="E38" s="5" t="e">
        <f t="shared" ca="1" si="14"/>
        <v>#REF!</v>
      </c>
      <c r="F38" s="5" t="e">
        <f t="shared" ca="1" si="15"/>
        <v>#REF!</v>
      </c>
      <c r="G38" s="5" t="e">
        <f t="shared" ca="1" si="16"/>
        <v>#REF!</v>
      </c>
      <c r="H38" s="15" t="e">
        <f t="shared" ca="1" si="19"/>
        <v>#REF!</v>
      </c>
      <c r="I38" s="2" t="e">
        <f t="shared" ca="1" si="20"/>
        <v>#REF!</v>
      </c>
      <c r="J38" s="2" t="e">
        <f t="shared" ca="1" si="21"/>
        <v>#REF!</v>
      </c>
      <c r="K38" s="2" t="e">
        <f t="shared" ca="1" si="22"/>
        <v>#REF!</v>
      </c>
      <c r="L38" s="2" t="e">
        <f t="shared" ca="1" si="23"/>
        <v>#REF!</v>
      </c>
      <c r="M38" s="2" t="e">
        <f t="shared" ca="1" si="24"/>
        <v>#REF!</v>
      </c>
      <c r="N38" s="2" t="e">
        <f t="shared" ca="1" si="25"/>
        <v>#REF!</v>
      </c>
      <c r="O38" s="2" t="e">
        <f t="shared" ca="1" si="26"/>
        <v>#REF!</v>
      </c>
      <c r="P38" s="2" t="e">
        <f t="shared" ca="1" si="27"/>
        <v>#REF!</v>
      </c>
      <c r="Q38" s="2" t="e">
        <f t="shared" ca="1" si="28"/>
        <v>#REF!</v>
      </c>
      <c r="R38" s="2" t="e">
        <f t="shared" ca="1" si="29"/>
        <v>#REF!</v>
      </c>
      <c r="S38" s="2" t="e">
        <f t="shared" ca="1" si="30"/>
        <v>#REF!</v>
      </c>
      <c r="T38" s="2" t="e">
        <f t="shared" ca="1" si="31"/>
        <v>#REF!</v>
      </c>
      <c r="U38" s="2" t="e">
        <f ca="1">IF(D38&gt;-1,"F",#REF!)</f>
        <v>#REF!</v>
      </c>
    </row>
    <row r="39" spans="1:21" ht="18.399999999999999" thickBot="1" x14ac:dyDescent="0.5">
      <c r="A39" s="13"/>
      <c r="B39" s="17"/>
      <c r="C39" s="17" t="str">
        <f t="shared" si="18"/>
        <v>@live.napier.ac.uk</v>
      </c>
      <c r="D39" s="10" t="e">
        <f t="shared" ca="1" si="13"/>
        <v>#REF!</v>
      </c>
      <c r="E39" s="5" t="e">
        <f t="shared" ca="1" si="14"/>
        <v>#REF!</v>
      </c>
      <c r="F39" s="5" t="e">
        <f t="shared" ca="1" si="15"/>
        <v>#REF!</v>
      </c>
      <c r="G39" s="5" t="e">
        <f t="shared" ca="1" si="16"/>
        <v>#REF!</v>
      </c>
      <c r="H39" s="15" t="e">
        <f t="shared" ca="1" si="19"/>
        <v>#REF!</v>
      </c>
      <c r="I39" s="2" t="e">
        <f t="shared" ca="1" si="20"/>
        <v>#REF!</v>
      </c>
      <c r="J39" s="2" t="e">
        <f t="shared" ca="1" si="21"/>
        <v>#REF!</v>
      </c>
      <c r="K39" s="2" t="e">
        <f t="shared" ca="1" si="22"/>
        <v>#REF!</v>
      </c>
      <c r="L39" s="2" t="e">
        <f t="shared" ca="1" si="23"/>
        <v>#REF!</v>
      </c>
      <c r="M39" s="2" t="e">
        <f t="shared" ca="1" si="24"/>
        <v>#REF!</v>
      </c>
      <c r="N39" s="2" t="e">
        <f t="shared" ca="1" si="25"/>
        <v>#REF!</v>
      </c>
      <c r="O39" s="2" t="e">
        <f t="shared" ca="1" si="26"/>
        <v>#REF!</v>
      </c>
      <c r="P39" s="2" t="e">
        <f t="shared" ca="1" si="27"/>
        <v>#REF!</v>
      </c>
      <c r="Q39" s="2" t="e">
        <f t="shared" ca="1" si="28"/>
        <v>#REF!</v>
      </c>
      <c r="R39" s="2" t="e">
        <f t="shared" ca="1" si="29"/>
        <v>#REF!</v>
      </c>
      <c r="S39" s="2" t="e">
        <f t="shared" ca="1" si="30"/>
        <v>#REF!</v>
      </c>
      <c r="T39" s="2" t="e">
        <f t="shared" ca="1" si="31"/>
        <v>#REF!</v>
      </c>
      <c r="U39" s="2" t="e">
        <f ca="1">IF(D39&gt;-1,"F",#REF!)</f>
        <v>#REF!</v>
      </c>
    </row>
    <row r="40" spans="1:21" ht="18.399999999999999" thickBot="1" x14ac:dyDescent="0.5">
      <c r="A40" s="13"/>
      <c r="B40" s="17"/>
      <c r="C40" s="17" t="str">
        <f t="shared" si="18"/>
        <v>@live.napier.ac.uk</v>
      </c>
      <c r="D40" s="10" t="e">
        <f t="shared" ca="1" si="13"/>
        <v>#REF!</v>
      </c>
      <c r="E40" s="5" t="e">
        <f t="shared" ca="1" si="14"/>
        <v>#REF!</v>
      </c>
      <c r="F40" s="5" t="e">
        <f t="shared" ca="1" si="15"/>
        <v>#REF!</v>
      </c>
      <c r="G40" s="5" t="e">
        <f t="shared" ca="1" si="16"/>
        <v>#REF!</v>
      </c>
      <c r="H40" s="15" t="e">
        <f t="shared" ca="1" si="19"/>
        <v>#REF!</v>
      </c>
      <c r="I40" s="2" t="e">
        <f t="shared" ca="1" si="20"/>
        <v>#REF!</v>
      </c>
      <c r="J40" s="2" t="e">
        <f t="shared" ca="1" si="21"/>
        <v>#REF!</v>
      </c>
      <c r="K40" s="2" t="e">
        <f t="shared" ca="1" si="22"/>
        <v>#REF!</v>
      </c>
      <c r="L40" s="2" t="e">
        <f t="shared" ca="1" si="23"/>
        <v>#REF!</v>
      </c>
      <c r="M40" s="2" t="e">
        <f t="shared" ca="1" si="24"/>
        <v>#REF!</v>
      </c>
      <c r="N40" s="2" t="e">
        <f t="shared" ca="1" si="25"/>
        <v>#REF!</v>
      </c>
      <c r="O40" s="2" t="e">
        <f t="shared" ca="1" si="26"/>
        <v>#REF!</v>
      </c>
      <c r="P40" s="2" t="e">
        <f t="shared" ca="1" si="27"/>
        <v>#REF!</v>
      </c>
      <c r="Q40" s="2" t="e">
        <f t="shared" ca="1" si="28"/>
        <v>#REF!</v>
      </c>
      <c r="R40" s="2" t="e">
        <f t="shared" ca="1" si="29"/>
        <v>#REF!</v>
      </c>
      <c r="S40" s="2" t="e">
        <f t="shared" ca="1" si="30"/>
        <v>#REF!</v>
      </c>
      <c r="T40" s="2" t="e">
        <f t="shared" ca="1" si="31"/>
        <v>#REF!</v>
      </c>
      <c r="U40" s="2" t="e">
        <f ca="1">IF(D40&gt;-1,"F",#REF!)</f>
        <v>#REF!</v>
      </c>
    </row>
    <row r="41" spans="1:21" ht="18.399999999999999" thickBot="1" x14ac:dyDescent="0.5">
      <c r="A41" s="13"/>
      <c r="B41" s="17"/>
      <c r="C41" s="17" t="str">
        <f t="shared" si="18"/>
        <v>@live.napier.ac.uk</v>
      </c>
      <c r="D41" s="10" t="e">
        <f t="shared" ca="1" si="13"/>
        <v>#REF!</v>
      </c>
      <c r="E41" s="5" t="e">
        <f t="shared" ca="1" si="14"/>
        <v>#REF!</v>
      </c>
      <c r="F41" s="5" t="e">
        <f t="shared" ca="1" si="15"/>
        <v>#REF!</v>
      </c>
      <c r="G41" s="5" t="e">
        <f t="shared" ca="1" si="16"/>
        <v>#REF!</v>
      </c>
      <c r="H41" s="15" t="e">
        <f t="shared" ca="1" si="19"/>
        <v>#REF!</v>
      </c>
      <c r="I41" s="2" t="e">
        <f t="shared" ca="1" si="20"/>
        <v>#REF!</v>
      </c>
      <c r="J41" s="2" t="e">
        <f t="shared" ca="1" si="21"/>
        <v>#REF!</v>
      </c>
      <c r="K41" s="2" t="e">
        <f t="shared" ca="1" si="22"/>
        <v>#REF!</v>
      </c>
      <c r="L41" s="2" t="e">
        <f t="shared" ca="1" si="23"/>
        <v>#REF!</v>
      </c>
      <c r="M41" s="2" t="e">
        <f t="shared" ca="1" si="24"/>
        <v>#REF!</v>
      </c>
      <c r="N41" s="2" t="e">
        <f t="shared" ca="1" si="25"/>
        <v>#REF!</v>
      </c>
      <c r="O41" s="2" t="e">
        <f t="shared" ca="1" si="26"/>
        <v>#REF!</v>
      </c>
      <c r="P41" s="2" t="e">
        <f t="shared" ca="1" si="27"/>
        <v>#REF!</v>
      </c>
      <c r="Q41" s="2" t="e">
        <f t="shared" ca="1" si="28"/>
        <v>#REF!</v>
      </c>
      <c r="R41" s="2" t="e">
        <f t="shared" ca="1" si="29"/>
        <v>#REF!</v>
      </c>
      <c r="S41" s="2" t="e">
        <f t="shared" ca="1" si="30"/>
        <v>#REF!</v>
      </c>
      <c r="T41" s="2" t="e">
        <f t="shared" ca="1" si="31"/>
        <v>#REF!</v>
      </c>
      <c r="U41" s="2" t="e">
        <f ca="1">IF(D41&gt;-1,"F",#REF!)</f>
        <v>#REF!</v>
      </c>
    </row>
    <row r="42" spans="1:21" ht="18.399999999999999" thickBot="1" x14ac:dyDescent="0.5">
      <c r="A42" s="13"/>
      <c r="B42" s="17"/>
      <c r="C42" s="17" t="str">
        <f t="shared" si="18"/>
        <v>@live.napier.ac.uk</v>
      </c>
      <c r="D42" s="10" t="e">
        <f t="shared" ca="1" si="13"/>
        <v>#REF!</v>
      </c>
      <c r="E42" s="5" t="e">
        <f t="shared" ca="1" si="14"/>
        <v>#REF!</v>
      </c>
      <c r="F42" s="5" t="e">
        <f t="shared" ca="1" si="15"/>
        <v>#REF!</v>
      </c>
      <c r="G42" s="5" t="e">
        <f t="shared" ca="1" si="16"/>
        <v>#REF!</v>
      </c>
      <c r="H42" s="15" t="e">
        <f t="shared" ca="1" si="19"/>
        <v>#REF!</v>
      </c>
      <c r="I42" s="2" t="e">
        <f t="shared" ca="1" si="20"/>
        <v>#REF!</v>
      </c>
      <c r="J42" s="2" t="e">
        <f t="shared" ca="1" si="21"/>
        <v>#REF!</v>
      </c>
      <c r="K42" s="2" t="e">
        <f t="shared" ca="1" si="22"/>
        <v>#REF!</v>
      </c>
      <c r="L42" s="2" t="e">
        <f t="shared" ca="1" si="23"/>
        <v>#REF!</v>
      </c>
      <c r="M42" s="2" t="e">
        <f t="shared" ca="1" si="24"/>
        <v>#REF!</v>
      </c>
      <c r="N42" s="2" t="e">
        <f t="shared" ca="1" si="25"/>
        <v>#REF!</v>
      </c>
      <c r="O42" s="2" t="e">
        <f t="shared" ca="1" si="26"/>
        <v>#REF!</v>
      </c>
      <c r="P42" s="2" t="e">
        <f t="shared" ca="1" si="27"/>
        <v>#REF!</v>
      </c>
      <c r="Q42" s="2" t="e">
        <f t="shared" ca="1" si="28"/>
        <v>#REF!</v>
      </c>
      <c r="R42" s="2" t="e">
        <f t="shared" ca="1" si="29"/>
        <v>#REF!</v>
      </c>
      <c r="S42" s="2" t="e">
        <f t="shared" ca="1" si="30"/>
        <v>#REF!</v>
      </c>
      <c r="T42" s="2" t="e">
        <f t="shared" ca="1" si="31"/>
        <v>#REF!</v>
      </c>
      <c r="U42" s="2" t="e">
        <f ca="1">IF(D42&gt;-1,"F",#REF!)</f>
        <v>#REF!</v>
      </c>
    </row>
    <row r="43" spans="1:21" ht="18.399999999999999" thickBot="1" x14ac:dyDescent="0.5">
      <c r="A43" s="13"/>
      <c r="B43" s="17"/>
      <c r="C43" s="17" t="str">
        <f t="shared" si="18"/>
        <v>@live.napier.ac.uk</v>
      </c>
      <c r="D43" s="10" t="e">
        <f t="shared" ca="1" si="13"/>
        <v>#REF!</v>
      </c>
      <c r="E43" s="5" t="e">
        <f t="shared" ca="1" si="14"/>
        <v>#REF!</v>
      </c>
      <c r="F43" s="5" t="e">
        <f t="shared" ca="1" si="15"/>
        <v>#REF!</v>
      </c>
      <c r="G43" s="5" t="e">
        <f t="shared" ca="1" si="16"/>
        <v>#REF!</v>
      </c>
      <c r="H43" s="15" t="e">
        <f t="shared" ca="1" si="19"/>
        <v>#REF!</v>
      </c>
      <c r="I43" s="2" t="e">
        <f t="shared" ca="1" si="20"/>
        <v>#REF!</v>
      </c>
      <c r="J43" s="2" t="e">
        <f t="shared" ca="1" si="21"/>
        <v>#REF!</v>
      </c>
      <c r="K43" s="2" t="e">
        <f t="shared" ca="1" si="22"/>
        <v>#REF!</v>
      </c>
      <c r="L43" s="2" t="e">
        <f t="shared" ca="1" si="23"/>
        <v>#REF!</v>
      </c>
      <c r="M43" s="2" t="e">
        <f t="shared" ca="1" si="24"/>
        <v>#REF!</v>
      </c>
      <c r="N43" s="2" t="e">
        <f t="shared" ca="1" si="25"/>
        <v>#REF!</v>
      </c>
      <c r="O43" s="2" t="e">
        <f t="shared" ca="1" si="26"/>
        <v>#REF!</v>
      </c>
      <c r="P43" s="2" t="e">
        <f t="shared" ca="1" si="27"/>
        <v>#REF!</v>
      </c>
      <c r="Q43" s="2" t="e">
        <f t="shared" ca="1" si="28"/>
        <v>#REF!</v>
      </c>
      <c r="R43" s="2" t="e">
        <f t="shared" ca="1" si="29"/>
        <v>#REF!</v>
      </c>
      <c r="S43" s="2" t="e">
        <f t="shared" ca="1" si="30"/>
        <v>#REF!</v>
      </c>
      <c r="T43" s="2" t="e">
        <f t="shared" ca="1" si="31"/>
        <v>#REF!</v>
      </c>
      <c r="U43" s="2" t="e">
        <f ca="1">IF(D43&gt;-1,"F",#REF!)</f>
        <v>#REF!</v>
      </c>
    </row>
    <row r="44" spans="1:21" ht="18.399999999999999" thickBot="1" x14ac:dyDescent="0.5">
      <c r="A44" s="13"/>
      <c r="B44" s="17"/>
      <c r="C44" s="17" t="str">
        <f t="shared" si="18"/>
        <v>@live.napier.ac.uk</v>
      </c>
      <c r="D44" s="10" t="e">
        <f t="shared" ca="1" si="13"/>
        <v>#REF!</v>
      </c>
      <c r="E44" s="5" t="e">
        <f t="shared" ca="1" si="14"/>
        <v>#REF!</v>
      </c>
      <c r="F44" s="5" t="e">
        <f t="shared" ca="1" si="15"/>
        <v>#REF!</v>
      </c>
      <c r="G44" s="5" t="e">
        <f t="shared" ca="1" si="16"/>
        <v>#REF!</v>
      </c>
      <c r="H44" s="15" t="e">
        <f t="shared" ca="1" si="19"/>
        <v>#REF!</v>
      </c>
      <c r="I44" s="2" t="e">
        <f t="shared" ca="1" si="20"/>
        <v>#REF!</v>
      </c>
      <c r="J44" s="2" t="e">
        <f t="shared" ca="1" si="21"/>
        <v>#REF!</v>
      </c>
      <c r="K44" s="2" t="e">
        <f t="shared" ca="1" si="22"/>
        <v>#REF!</v>
      </c>
      <c r="L44" s="2" t="e">
        <f t="shared" ca="1" si="23"/>
        <v>#REF!</v>
      </c>
      <c r="M44" s="2" t="e">
        <f t="shared" ca="1" si="24"/>
        <v>#REF!</v>
      </c>
      <c r="N44" s="2" t="e">
        <f t="shared" ca="1" si="25"/>
        <v>#REF!</v>
      </c>
      <c r="O44" s="2" t="e">
        <f t="shared" ca="1" si="26"/>
        <v>#REF!</v>
      </c>
      <c r="P44" s="2" t="e">
        <f t="shared" ca="1" si="27"/>
        <v>#REF!</v>
      </c>
      <c r="Q44" s="2" t="e">
        <f t="shared" ca="1" si="28"/>
        <v>#REF!</v>
      </c>
      <c r="R44" s="2" t="e">
        <f t="shared" ca="1" si="29"/>
        <v>#REF!</v>
      </c>
      <c r="S44" s="2" t="e">
        <f t="shared" ca="1" si="30"/>
        <v>#REF!</v>
      </c>
      <c r="T44" s="2" t="e">
        <f t="shared" ca="1" si="31"/>
        <v>#REF!</v>
      </c>
      <c r="U44" s="2" t="e">
        <f ca="1">IF(D44&gt;-1,"F",#REF!)</f>
        <v>#REF!</v>
      </c>
    </row>
    <row r="45" spans="1:21" ht="18.399999999999999" thickBot="1" x14ac:dyDescent="0.5">
      <c r="A45" s="13"/>
      <c r="B45" s="17"/>
      <c r="C45" s="17" t="str">
        <f t="shared" si="18"/>
        <v>@live.napier.ac.uk</v>
      </c>
      <c r="D45" s="10" t="e">
        <f t="shared" ca="1" si="13"/>
        <v>#REF!</v>
      </c>
      <c r="E45" s="5" t="e">
        <f t="shared" ca="1" si="14"/>
        <v>#REF!</v>
      </c>
      <c r="F45" s="5" t="e">
        <f t="shared" ca="1" si="15"/>
        <v>#REF!</v>
      </c>
      <c r="G45" s="5" t="e">
        <f t="shared" ca="1" si="16"/>
        <v>#REF!</v>
      </c>
      <c r="H45" s="15" t="e">
        <f t="shared" ca="1" si="19"/>
        <v>#REF!</v>
      </c>
      <c r="I45" s="2" t="e">
        <f t="shared" ca="1" si="20"/>
        <v>#REF!</v>
      </c>
      <c r="J45" s="2" t="e">
        <f t="shared" ca="1" si="21"/>
        <v>#REF!</v>
      </c>
      <c r="K45" s="2" t="e">
        <f t="shared" ca="1" si="22"/>
        <v>#REF!</v>
      </c>
      <c r="L45" s="2" t="e">
        <f t="shared" ca="1" si="23"/>
        <v>#REF!</v>
      </c>
      <c r="M45" s="2" t="e">
        <f t="shared" ca="1" si="24"/>
        <v>#REF!</v>
      </c>
      <c r="N45" s="2" t="e">
        <f t="shared" ca="1" si="25"/>
        <v>#REF!</v>
      </c>
      <c r="O45" s="2" t="e">
        <f t="shared" ca="1" si="26"/>
        <v>#REF!</v>
      </c>
      <c r="P45" s="2" t="e">
        <f t="shared" ca="1" si="27"/>
        <v>#REF!</v>
      </c>
      <c r="Q45" s="2" t="e">
        <f t="shared" ca="1" si="28"/>
        <v>#REF!</v>
      </c>
      <c r="R45" s="2" t="e">
        <f t="shared" ca="1" si="29"/>
        <v>#REF!</v>
      </c>
      <c r="S45" s="2" t="e">
        <f t="shared" ca="1" si="30"/>
        <v>#REF!</v>
      </c>
      <c r="T45" s="2" t="e">
        <f t="shared" ca="1" si="31"/>
        <v>#REF!</v>
      </c>
      <c r="U45" s="2" t="e">
        <f ca="1">IF(D45&gt;-1,"F",#REF!)</f>
        <v>#REF!</v>
      </c>
    </row>
    <row r="46" spans="1:21" ht="18.399999999999999" thickBot="1" x14ac:dyDescent="0.5">
      <c r="A46" s="13"/>
      <c r="B46" s="17"/>
      <c r="C46" s="17" t="str">
        <f t="shared" si="18"/>
        <v>@live.napier.ac.uk</v>
      </c>
      <c r="D46" s="10" t="e">
        <f t="shared" ca="1" si="13"/>
        <v>#REF!</v>
      </c>
      <c r="E46" s="5" t="e">
        <f t="shared" ca="1" si="14"/>
        <v>#REF!</v>
      </c>
      <c r="F46" s="5" t="e">
        <f t="shared" ca="1" si="15"/>
        <v>#REF!</v>
      </c>
      <c r="G46" s="5" t="e">
        <f t="shared" ca="1" si="16"/>
        <v>#REF!</v>
      </c>
      <c r="H46" s="15" t="e">
        <f t="shared" ca="1" si="19"/>
        <v>#REF!</v>
      </c>
      <c r="I46" s="2" t="e">
        <f t="shared" ca="1" si="20"/>
        <v>#REF!</v>
      </c>
      <c r="J46" s="2" t="e">
        <f t="shared" ca="1" si="21"/>
        <v>#REF!</v>
      </c>
      <c r="K46" s="2" t="e">
        <f t="shared" ca="1" si="22"/>
        <v>#REF!</v>
      </c>
      <c r="L46" s="2" t="e">
        <f t="shared" ca="1" si="23"/>
        <v>#REF!</v>
      </c>
      <c r="M46" s="2" t="e">
        <f t="shared" ca="1" si="24"/>
        <v>#REF!</v>
      </c>
      <c r="N46" s="2" t="e">
        <f t="shared" ca="1" si="25"/>
        <v>#REF!</v>
      </c>
      <c r="O46" s="2" t="e">
        <f t="shared" ca="1" si="26"/>
        <v>#REF!</v>
      </c>
      <c r="P46" s="2" t="e">
        <f t="shared" ca="1" si="27"/>
        <v>#REF!</v>
      </c>
      <c r="Q46" s="2" t="e">
        <f t="shared" ca="1" si="28"/>
        <v>#REF!</v>
      </c>
      <c r="R46" s="2" t="e">
        <f t="shared" ca="1" si="29"/>
        <v>#REF!</v>
      </c>
      <c r="S46" s="2" t="e">
        <f t="shared" ca="1" si="30"/>
        <v>#REF!</v>
      </c>
      <c r="T46" s="2" t="e">
        <f t="shared" ca="1" si="31"/>
        <v>#REF!</v>
      </c>
      <c r="U46" s="2" t="e">
        <f ca="1">IF(D46&gt;-1,"F",#REF!)</f>
        <v>#REF!</v>
      </c>
    </row>
    <row r="47" spans="1:21" ht="18.399999999999999" thickBot="1" x14ac:dyDescent="0.5">
      <c r="A47" s="13"/>
      <c r="B47" s="17"/>
      <c r="C47" s="17" t="str">
        <f t="shared" si="18"/>
        <v>@live.napier.ac.uk</v>
      </c>
      <c r="D47" s="10" t="e">
        <f t="shared" ca="1" si="13"/>
        <v>#REF!</v>
      </c>
      <c r="E47" s="5" t="e">
        <f t="shared" ca="1" si="14"/>
        <v>#REF!</v>
      </c>
      <c r="F47" s="5" t="e">
        <f t="shared" ca="1" si="15"/>
        <v>#REF!</v>
      </c>
      <c r="G47" s="5" t="e">
        <f t="shared" ca="1" si="16"/>
        <v>#REF!</v>
      </c>
      <c r="H47" s="15" t="e">
        <f t="shared" ca="1" si="19"/>
        <v>#REF!</v>
      </c>
      <c r="I47" s="2" t="e">
        <f t="shared" ca="1" si="20"/>
        <v>#REF!</v>
      </c>
      <c r="J47" s="2" t="e">
        <f t="shared" ca="1" si="21"/>
        <v>#REF!</v>
      </c>
      <c r="K47" s="2" t="e">
        <f t="shared" ca="1" si="22"/>
        <v>#REF!</v>
      </c>
      <c r="L47" s="2" t="e">
        <f t="shared" ca="1" si="23"/>
        <v>#REF!</v>
      </c>
      <c r="M47" s="2" t="e">
        <f t="shared" ca="1" si="24"/>
        <v>#REF!</v>
      </c>
      <c r="N47" s="2" t="e">
        <f t="shared" ca="1" si="25"/>
        <v>#REF!</v>
      </c>
      <c r="O47" s="2" t="e">
        <f t="shared" ca="1" si="26"/>
        <v>#REF!</v>
      </c>
      <c r="P47" s="2" t="e">
        <f t="shared" ca="1" si="27"/>
        <v>#REF!</v>
      </c>
      <c r="Q47" s="2" t="e">
        <f t="shared" ca="1" si="28"/>
        <v>#REF!</v>
      </c>
      <c r="R47" s="2" t="e">
        <f t="shared" ca="1" si="29"/>
        <v>#REF!</v>
      </c>
      <c r="S47" s="2" t="e">
        <f t="shared" ca="1" si="30"/>
        <v>#REF!</v>
      </c>
      <c r="T47" s="2" t="e">
        <f t="shared" ca="1" si="31"/>
        <v>#REF!</v>
      </c>
      <c r="U47" s="2" t="e">
        <f ca="1">IF(D47&gt;-1,"F",#REF!)</f>
        <v>#REF!</v>
      </c>
    </row>
    <row r="48" spans="1:21" ht="18.399999999999999" thickBot="1" x14ac:dyDescent="0.5">
      <c r="A48" s="13"/>
      <c r="B48" s="17"/>
      <c r="C48" s="17" t="str">
        <f t="shared" si="18"/>
        <v>@live.napier.ac.uk</v>
      </c>
      <c r="D48" s="10" t="e">
        <f t="shared" ca="1" si="13"/>
        <v>#REF!</v>
      </c>
      <c r="E48" s="5" t="e">
        <f t="shared" ca="1" si="14"/>
        <v>#REF!</v>
      </c>
      <c r="F48" s="5" t="e">
        <f t="shared" ca="1" si="15"/>
        <v>#REF!</v>
      </c>
      <c r="G48" s="5" t="e">
        <f t="shared" ca="1" si="16"/>
        <v>#REF!</v>
      </c>
      <c r="H48" s="15" t="e">
        <f t="shared" ca="1" si="19"/>
        <v>#REF!</v>
      </c>
      <c r="I48" s="2" t="e">
        <f t="shared" ca="1" si="20"/>
        <v>#REF!</v>
      </c>
      <c r="J48" s="2" t="e">
        <f t="shared" ca="1" si="21"/>
        <v>#REF!</v>
      </c>
      <c r="K48" s="2" t="e">
        <f t="shared" ca="1" si="22"/>
        <v>#REF!</v>
      </c>
      <c r="L48" s="2" t="e">
        <f t="shared" ca="1" si="23"/>
        <v>#REF!</v>
      </c>
      <c r="M48" s="2" t="e">
        <f t="shared" ca="1" si="24"/>
        <v>#REF!</v>
      </c>
      <c r="N48" s="2" t="e">
        <f t="shared" ca="1" si="25"/>
        <v>#REF!</v>
      </c>
      <c r="O48" s="2" t="e">
        <f t="shared" ca="1" si="26"/>
        <v>#REF!</v>
      </c>
      <c r="P48" s="2" t="e">
        <f t="shared" ca="1" si="27"/>
        <v>#REF!</v>
      </c>
      <c r="Q48" s="2" t="e">
        <f t="shared" ca="1" si="28"/>
        <v>#REF!</v>
      </c>
      <c r="R48" s="2" t="e">
        <f t="shared" ca="1" si="29"/>
        <v>#REF!</v>
      </c>
      <c r="S48" s="2" t="e">
        <f t="shared" ca="1" si="30"/>
        <v>#REF!</v>
      </c>
      <c r="T48" s="2" t="e">
        <f t="shared" ca="1" si="31"/>
        <v>#REF!</v>
      </c>
      <c r="U48" s="2" t="e">
        <f ca="1">IF(D48&gt;-1,"F",#REF!)</f>
        <v>#REF!</v>
      </c>
    </row>
    <row r="49" spans="1:21" ht="18.399999999999999" thickBot="1" x14ac:dyDescent="0.5">
      <c r="A49" s="13"/>
      <c r="B49" s="17"/>
      <c r="C49" s="17" t="str">
        <f t="shared" si="18"/>
        <v>@live.napier.ac.uk</v>
      </c>
      <c r="D49" s="10" t="e">
        <f t="shared" ca="1" si="13"/>
        <v>#REF!</v>
      </c>
      <c r="E49" s="5" t="e">
        <f t="shared" ca="1" si="14"/>
        <v>#REF!</v>
      </c>
      <c r="F49" s="5" t="e">
        <f t="shared" ca="1" si="15"/>
        <v>#REF!</v>
      </c>
      <c r="G49" s="5" t="e">
        <f t="shared" ca="1" si="16"/>
        <v>#REF!</v>
      </c>
      <c r="H49" s="15" t="e">
        <f t="shared" ca="1" si="19"/>
        <v>#REF!</v>
      </c>
      <c r="I49" s="2" t="e">
        <f t="shared" ca="1" si="20"/>
        <v>#REF!</v>
      </c>
      <c r="J49" s="2" t="e">
        <f t="shared" ca="1" si="21"/>
        <v>#REF!</v>
      </c>
      <c r="K49" s="2" t="e">
        <f t="shared" ca="1" si="22"/>
        <v>#REF!</v>
      </c>
      <c r="L49" s="2" t="e">
        <f t="shared" ca="1" si="23"/>
        <v>#REF!</v>
      </c>
      <c r="M49" s="2" t="e">
        <f t="shared" ca="1" si="24"/>
        <v>#REF!</v>
      </c>
      <c r="N49" s="2" t="e">
        <f t="shared" ca="1" si="25"/>
        <v>#REF!</v>
      </c>
      <c r="O49" s="2" t="e">
        <f t="shared" ca="1" si="26"/>
        <v>#REF!</v>
      </c>
      <c r="P49" s="2" t="e">
        <f t="shared" ca="1" si="27"/>
        <v>#REF!</v>
      </c>
      <c r="Q49" s="2" t="e">
        <f t="shared" ca="1" si="28"/>
        <v>#REF!</v>
      </c>
      <c r="R49" s="2" t="e">
        <f t="shared" ca="1" si="29"/>
        <v>#REF!</v>
      </c>
      <c r="S49" s="2" t="e">
        <f t="shared" ca="1" si="30"/>
        <v>#REF!</v>
      </c>
      <c r="T49" s="2" t="e">
        <f t="shared" ca="1" si="31"/>
        <v>#REF!</v>
      </c>
      <c r="U49" s="2" t="e">
        <f ca="1">IF(D49&gt;-1,"F",#REF!)</f>
        <v>#REF!</v>
      </c>
    </row>
    <row r="50" spans="1:21" ht="18.399999999999999" thickBot="1" x14ac:dyDescent="0.5">
      <c r="A50" s="13"/>
      <c r="B50" s="17"/>
      <c r="C50" s="17" t="str">
        <f t="shared" si="18"/>
        <v>@live.napier.ac.uk</v>
      </c>
      <c r="D50" s="10" t="e">
        <f t="shared" ca="1" si="13"/>
        <v>#REF!</v>
      </c>
      <c r="E50" s="5" t="e">
        <f t="shared" ca="1" si="14"/>
        <v>#REF!</v>
      </c>
      <c r="F50" s="5" t="e">
        <f t="shared" ca="1" si="15"/>
        <v>#REF!</v>
      </c>
      <c r="G50" s="5" t="e">
        <f t="shared" ca="1" si="16"/>
        <v>#REF!</v>
      </c>
      <c r="H50" s="15" t="e">
        <f t="shared" ca="1" si="19"/>
        <v>#REF!</v>
      </c>
      <c r="I50" s="2" t="e">
        <f t="shared" ca="1" si="20"/>
        <v>#REF!</v>
      </c>
      <c r="J50" s="2" t="e">
        <f t="shared" ca="1" si="21"/>
        <v>#REF!</v>
      </c>
      <c r="K50" s="2" t="e">
        <f t="shared" ca="1" si="22"/>
        <v>#REF!</v>
      </c>
      <c r="L50" s="2" t="e">
        <f t="shared" ca="1" si="23"/>
        <v>#REF!</v>
      </c>
      <c r="M50" s="2" t="e">
        <f t="shared" ca="1" si="24"/>
        <v>#REF!</v>
      </c>
      <c r="N50" s="2" t="e">
        <f t="shared" ca="1" si="25"/>
        <v>#REF!</v>
      </c>
      <c r="O50" s="2" t="e">
        <f t="shared" ca="1" si="26"/>
        <v>#REF!</v>
      </c>
      <c r="P50" s="2" t="e">
        <f t="shared" ca="1" si="27"/>
        <v>#REF!</v>
      </c>
      <c r="Q50" s="2" t="e">
        <f t="shared" ca="1" si="28"/>
        <v>#REF!</v>
      </c>
      <c r="R50" s="2" t="e">
        <f t="shared" ca="1" si="29"/>
        <v>#REF!</v>
      </c>
      <c r="S50" s="2" t="e">
        <f t="shared" ca="1" si="30"/>
        <v>#REF!</v>
      </c>
      <c r="T50" s="2" t="e">
        <f t="shared" ca="1" si="31"/>
        <v>#REF!</v>
      </c>
      <c r="U50" s="2" t="e">
        <f ca="1">IF(D50&gt;-1,"F",#REF!)</f>
        <v>#REF!</v>
      </c>
    </row>
    <row r="51" spans="1:21" ht="18.399999999999999" thickBot="1" x14ac:dyDescent="0.5">
      <c r="A51" s="13"/>
      <c r="B51" s="17"/>
      <c r="C51" s="17" t="str">
        <f t="shared" si="18"/>
        <v>@live.napier.ac.uk</v>
      </c>
      <c r="D51" s="10" t="e">
        <f t="shared" ca="1" si="13"/>
        <v>#REF!</v>
      </c>
      <c r="E51" s="5" t="e">
        <f t="shared" ca="1" si="14"/>
        <v>#REF!</v>
      </c>
      <c r="F51" s="5" t="e">
        <f t="shared" ca="1" si="15"/>
        <v>#REF!</v>
      </c>
      <c r="G51" s="5" t="e">
        <f t="shared" ca="1" si="16"/>
        <v>#REF!</v>
      </c>
      <c r="H51" s="15" t="e">
        <f t="shared" ca="1" si="19"/>
        <v>#REF!</v>
      </c>
      <c r="I51" s="2" t="e">
        <f t="shared" ca="1" si="20"/>
        <v>#REF!</v>
      </c>
      <c r="J51" s="2" t="e">
        <f t="shared" ca="1" si="21"/>
        <v>#REF!</v>
      </c>
      <c r="K51" s="2" t="e">
        <f t="shared" ca="1" si="22"/>
        <v>#REF!</v>
      </c>
      <c r="L51" s="2" t="e">
        <f t="shared" ca="1" si="23"/>
        <v>#REF!</v>
      </c>
      <c r="M51" s="2" t="e">
        <f t="shared" ca="1" si="24"/>
        <v>#REF!</v>
      </c>
      <c r="N51" s="2" t="e">
        <f t="shared" ca="1" si="25"/>
        <v>#REF!</v>
      </c>
      <c r="O51" s="2" t="e">
        <f t="shared" ca="1" si="26"/>
        <v>#REF!</v>
      </c>
      <c r="P51" s="2" t="e">
        <f t="shared" ca="1" si="27"/>
        <v>#REF!</v>
      </c>
      <c r="Q51" s="2" t="e">
        <f t="shared" ca="1" si="28"/>
        <v>#REF!</v>
      </c>
      <c r="R51" s="2" t="e">
        <f t="shared" ca="1" si="29"/>
        <v>#REF!</v>
      </c>
      <c r="S51" s="2" t="e">
        <f t="shared" ca="1" si="30"/>
        <v>#REF!</v>
      </c>
      <c r="T51" s="2" t="e">
        <f t="shared" ca="1" si="31"/>
        <v>#REF!</v>
      </c>
      <c r="U51" s="2" t="e">
        <f ca="1">IF(D51&gt;-1,"F",#REF!)</f>
        <v>#REF!</v>
      </c>
    </row>
    <row r="52" spans="1:21" ht="18.399999999999999" thickBot="1" x14ac:dyDescent="0.5">
      <c r="A52" s="13"/>
      <c r="B52" s="17"/>
      <c r="C52" s="17" t="str">
        <f t="shared" si="18"/>
        <v>@live.napier.ac.uk</v>
      </c>
      <c r="D52" s="10" t="e">
        <f t="shared" ca="1" si="13"/>
        <v>#REF!</v>
      </c>
      <c r="E52" s="5" t="e">
        <f t="shared" ca="1" si="14"/>
        <v>#REF!</v>
      </c>
      <c r="F52" s="5" t="e">
        <f t="shared" ca="1" si="15"/>
        <v>#REF!</v>
      </c>
      <c r="G52" s="5" t="e">
        <f t="shared" ca="1" si="16"/>
        <v>#REF!</v>
      </c>
      <c r="H52" s="15" t="e">
        <f t="shared" ca="1" si="19"/>
        <v>#REF!</v>
      </c>
      <c r="I52" s="2" t="e">
        <f t="shared" ca="1" si="20"/>
        <v>#REF!</v>
      </c>
      <c r="J52" s="2" t="e">
        <f t="shared" ca="1" si="21"/>
        <v>#REF!</v>
      </c>
      <c r="K52" s="2" t="e">
        <f t="shared" ca="1" si="22"/>
        <v>#REF!</v>
      </c>
      <c r="L52" s="2" t="e">
        <f t="shared" ca="1" si="23"/>
        <v>#REF!</v>
      </c>
      <c r="M52" s="2" t="e">
        <f t="shared" ca="1" si="24"/>
        <v>#REF!</v>
      </c>
      <c r="N52" s="2" t="e">
        <f t="shared" ca="1" si="25"/>
        <v>#REF!</v>
      </c>
      <c r="O52" s="2" t="e">
        <f t="shared" ca="1" si="26"/>
        <v>#REF!</v>
      </c>
      <c r="P52" s="2" t="e">
        <f t="shared" ca="1" si="27"/>
        <v>#REF!</v>
      </c>
      <c r="Q52" s="2" t="e">
        <f t="shared" ca="1" si="28"/>
        <v>#REF!</v>
      </c>
      <c r="R52" s="2" t="e">
        <f t="shared" ca="1" si="29"/>
        <v>#REF!</v>
      </c>
      <c r="S52" s="2" t="e">
        <f t="shared" ca="1" si="30"/>
        <v>#REF!</v>
      </c>
      <c r="T52" s="2" t="e">
        <f t="shared" ca="1" si="31"/>
        <v>#REF!</v>
      </c>
      <c r="U52" s="2" t="e">
        <f ca="1">IF(D52&gt;-1,"F",#REF!)</f>
        <v>#REF!</v>
      </c>
    </row>
    <row r="53" spans="1:21" ht="18.399999999999999" thickBot="1" x14ac:dyDescent="0.5">
      <c r="A53" s="13"/>
      <c r="B53" s="17"/>
      <c r="C53" s="17" t="str">
        <f t="shared" si="18"/>
        <v>@live.napier.ac.uk</v>
      </c>
      <c r="D53" s="10" t="e">
        <f t="shared" ca="1" si="13"/>
        <v>#REF!</v>
      </c>
      <c r="E53" s="5" t="e">
        <f t="shared" ca="1" si="14"/>
        <v>#REF!</v>
      </c>
      <c r="F53" s="5" t="e">
        <f t="shared" ca="1" si="15"/>
        <v>#REF!</v>
      </c>
      <c r="G53" s="5" t="e">
        <f t="shared" ca="1" si="16"/>
        <v>#REF!</v>
      </c>
      <c r="H53" s="15" t="e">
        <f t="shared" ca="1" si="19"/>
        <v>#REF!</v>
      </c>
      <c r="I53" s="2" t="e">
        <f t="shared" ca="1" si="20"/>
        <v>#REF!</v>
      </c>
      <c r="J53" s="2" t="e">
        <f t="shared" ca="1" si="21"/>
        <v>#REF!</v>
      </c>
      <c r="K53" s="2" t="e">
        <f t="shared" ca="1" si="22"/>
        <v>#REF!</v>
      </c>
      <c r="L53" s="2" t="e">
        <f t="shared" ca="1" si="23"/>
        <v>#REF!</v>
      </c>
      <c r="M53" s="2" t="e">
        <f t="shared" ca="1" si="24"/>
        <v>#REF!</v>
      </c>
      <c r="N53" s="2" t="e">
        <f t="shared" ca="1" si="25"/>
        <v>#REF!</v>
      </c>
      <c r="O53" s="2" t="e">
        <f t="shared" ca="1" si="26"/>
        <v>#REF!</v>
      </c>
      <c r="P53" s="2" t="e">
        <f t="shared" ca="1" si="27"/>
        <v>#REF!</v>
      </c>
      <c r="Q53" s="2" t="e">
        <f t="shared" ca="1" si="28"/>
        <v>#REF!</v>
      </c>
      <c r="R53" s="2" t="e">
        <f t="shared" ca="1" si="29"/>
        <v>#REF!</v>
      </c>
      <c r="S53" s="2" t="e">
        <f t="shared" ca="1" si="30"/>
        <v>#REF!</v>
      </c>
      <c r="T53" s="2" t="e">
        <f t="shared" ca="1" si="31"/>
        <v>#REF!</v>
      </c>
      <c r="U53" s="2" t="e">
        <f ca="1">IF(D53&gt;-1,"F",#REF!)</f>
        <v>#REF!</v>
      </c>
    </row>
    <row r="54" spans="1:21" ht="18.399999999999999" thickBot="1" x14ac:dyDescent="0.5">
      <c r="A54" s="13"/>
      <c r="B54" s="17"/>
      <c r="C54" s="17" t="str">
        <f t="shared" si="18"/>
        <v>@live.napier.ac.uk</v>
      </c>
      <c r="D54" s="10" t="e">
        <f t="shared" ca="1" si="13"/>
        <v>#REF!</v>
      </c>
      <c r="E54" s="5" t="e">
        <f t="shared" ca="1" si="14"/>
        <v>#REF!</v>
      </c>
      <c r="F54" s="5" t="e">
        <f t="shared" ca="1" si="15"/>
        <v>#REF!</v>
      </c>
      <c r="G54" s="5" t="e">
        <f t="shared" ca="1" si="16"/>
        <v>#REF!</v>
      </c>
      <c r="H54" s="15" t="e">
        <f t="shared" ca="1" si="19"/>
        <v>#REF!</v>
      </c>
      <c r="I54" s="2" t="e">
        <f t="shared" ca="1" si="20"/>
        <v>#REF!</v>
      </c>
      <c r="J54" s="2" t="e">
        <f t="shared" ca="1" si="21"/>
        <v>#REF!</v>
      </c>
      <c r="K54" s="2" t="e">
        <f t="shared" ca="1" si="22"/>
        <v>#REF!</v>
      </c>
      <c r="L54" s="2" t="e">
        <f t="shared" ca="1" si="23"/>
        <v>#REF!</v>
      </c>
      <c r="M54" s="2" t="e">
        <f t="shared" ca="1" si="24"/>
        <v>#REF!</v>
      </c>
      <c r="N54" s="2" t="e">
        <f t="shared" ca="1" si="25"/>
        <v>#REF!</v>
      </c>
      <c r="O54" s="2" t="e">
        <f t="shared" ca="1" si="26"/>
        <v>#REF!</v>
      </c>
      <c r="P54" s="2" t="e">
        <f t="shared" ca="1" si="27"/>
        <v>#REF!</v>
      </c>
      <c r="Q54" s="2" t="e">
        <f t="shared" ca="1" si="28"/>
        <v>#REF!</v>
      </c>
      <c r="R54" s="2" t="e">
        <f t="shared" ca="1" si="29"/>
        <v>#REF!</v>
      </c>
      <c r="S54" s="2" t="e">
        <f t="shared" ca="1" si="30"/>
        <v>#REF!</v>
      </c>
      <c r="T54" s="2" t="e">
        <f t="shared" ca="1" si="31"/>
        <v>#REF!</v>
      </c>
      <c r="U54" s="2" t="e">
        <f ca="1">IF(D54&gt;-1,"F",#REF!)</f>
        <v>#REF!</v>
      </c>
    </row>
    <row r="55" spans="1:21" ht="18.399999999999999" thickBot="1" x14ac:dyDescent="0.5">
      <c r="A55" s="13"/>
      <c r="B55" s="17"/>
      <c r="C55" s="17" t="str">
        <f t="shared" si="18"/>
        <v>@live.napier.ac.uk</v>
      </c>
      <c r="D55" s="10" t="e">
        <f t="shared" ca="1" si="13"/>
        <v>#REF!</v>
      </c>
      <c r="E55" s="5" t="e">
        <f t="shared" ca="1" si="14"/>
        <v>#REF!</v>
      </c>
      <c r="F55" s="5" t="e">
        <f t="shared" ca="1" si="15"/>
        <v>#REF!</v>
      </c>
      <c r="G55" s="5" t="e">
        <f t="shared" ca="1" si="16"/>
        <v>#REF!</v>
      </c>
      <c r="H55" s="15" t="e">
        <f t="shared" ca="1" si="19"/>
        <v>#REF!</v>
      </c>
      <c r="I55" s="2" t="e">
        <f t="shared" ca="1" si="20"/>
        <v>#REF!</v>
      </c>
      <c r="J55" s="2" t="e">
        <f t="shared" ca="1" si="21"/>
        <v>#REF!</v>
      </c>
      <c r="K55" s="2" t="e">
        <f t="shared" ca="1" si="22"/>
        <v>#REF!</v>
      </c>
      <c r="L55" s="2" t="e">
        <f t="shared" ca="1" si="23"/>
        <v>#REF!</v>
      </c>
      <c r="M55" s="2" t="e">
        <f t="shared" ca="1" si="24"/>
        <v>#REF!</v>
      </c>
      <c r="N55" s="2" t="e">
        <f t="shared" ca="1" si="25"/>
        <v>#REF!</v>
      </c>
      <c r="O55" s="2" t="e">
        <f t="shared" ca="1" si="26"/>
        <v>#REF!</v>
      </c>
      <c r="P55" s="2" t="e">
        <f t="shared" ca="1" si="27"/>
        <v>#REF!</v>
      </c>
      <c r="Q55" s="2" t="e">
        <f t="shared" ca="1" si="28"/>
        <v>#REF!</v>
      </c>
      <c r="R55" s="2" t="e">
        <f t="shared" ca="1" si="29"/>
        <v>#REF!</v>
      </c>
      <c r="S55" s="2" t="e">
        <f t="shared" ca="1" si="30"/>
        <v>#REF!</v>
      </c>
      <c r="T55" s="2" t="e">
        <f t="shared" ca="1" si="31"/>
        <v>#REF!</v>
      </c>
      <c r="U55" s="2" t="e">
        <f ca="1">IF(D55&gt;-1,"F",#REF!)</f>
        <v>#REF!</v>
      </c>
    </row>
    <row r="56" spans="1:21" ht="18.399999999999999" thickBot="1" x14ac:dyDescent="0.5">
      <c r="A56" s="13"/>
      <c r="B56" s="17"/>
      <c r="C56" s="17" t="str">
        <f t="shared" si="18"/>
        <v>@live.napier.ac.uk</v>
      </c>
      <c r="D56" s="10" t="e">
        <f t="shared" ca="1" si="13"/>
        <v>#REF!</v>
      </c>
      <c r="E56" s="5" t="e">
        <f t="shared" ca="1" si="14"/>
        <v>#REF!</v>
      </c>
      <c r="F56" s="5" t="e">
        <f t="shared" ca="1" si="15"/>
        <v>#REF!</v>
      </c>
      <c r="G56" s="5" t="e">
        <f t="shared" ca="1" si="16"/>
        <v>#REF!</v>
      </c>
      <c r="H56" s="15" t="e">
        <f t="shared" ca="1" si="19"/>
        <v>#REF!</v>
      </c>
      <c r="I56" s="2" t="e">
        <f t="shared" ca="1" si="20"/>
        <v>#REF!</v>
      </c>
      <c r="J56" s="2" t="e">
        <f t="shared" ca="1" si="21"/>
        <v>#REF!</v>
      </c>
      <c r="K56" s="2" t="e">
        <f t="shared" ca="1" si="22"/>
        <v>#REF!</v>
      </c>
      <c r="L56" s="2" t="e">
        <f t="shared" ca="1" si="23"/>
        <v>#REF!</v>
      </c>
      <c r="M56" s="2" t="e">
        <f t="shared" ca="1" si="24"/>
        <v>#REF!</v>
      </c>
      <c r="N56" s="2" t="e">
        <f t="shared" ca="1" si="25"/>
        <v>#REF!</v>
      </c>
      <c r="O56" s="2" t="e">
        <f t="shared" ca="1" si="26"/>
        <v>#REF!</v>
      </c>
      <c r="P56" s="2" t="e">
        <f t="shared" ca="1" si="27"/>
        <v>#REF!</v>
      </c>
      <c r="Q56" s="2" t="e">
        <f t="shared" ca="1" si="28"/>
        <v>#REF!</v>
      </c>
      <c r="R56" s="2" t="e">
        <f t="shared" ca="1" si="29"/>
        <v>#REF!</v>
      </c>
      <c r="S56" s="2" t="e">
        <f t="shared" ca="1" si="30"/>
        <v>#REF!</v>
      </c>
      <c r="T56" s="2" t="e">
        <f t="shared" ca="1" si="31"/>
        <v>#REF!</v>
      </c>
      <c r="U56" s="2" t="e">
        <f ca="1">IF(D56&gt;-1,"F",#REF!)</f>
        <v>#REF!</v>
      </c>
    </row>
    <row r="57" spans="1:21" ht="18.399999999999999" thickBot="1" x14ac:dyDescent="0.5">
      <c r="A57" s="13"/>
      <c r="B57" s="17"/>
      <c r="C57" s="17" t="str">
        <f t="shared" si="18"/>
        <v>@live.napier.ac.uk</v>
      </c>
      <c r="D57" s="10" t="e">
        <f t="shared" ca="1" si="13"/>
        <v>#REF!</v>
      </c>
      <c r="E57" s="5" t="e">
        <f t="shared" ca="1" si="14"/>
        <v>#REF!</v>
      </c>
      <c r="F57" s="5" t="e">
        <f t="shared" ca="1" si="15"/>
        <v>#REF!</v>
      </c>
      <c r="G57" s="5" t="e">
        <f t="shared" ca="1" si="16"/>
        <v>#REF!</v>
      </c>
      <c r="H57" s="15" t="e">
        <f t="shared" ca="1" si="19"/>
        <v>#REF!</v>
      </c>
      <c r="I57" s="2" t="e">
        <f t="shared" ca="1" si="20"/>
        <v>#REF!</v>
      </c>
      <c r="J57" s="2" t="e">
        <f t="shared" ca="1" si="21"/>
        <v>#REF!</v>
      </c>
      <c r="K57" s="2" t="e">
        <f t="shared" ca="1" si="22"/>
        <v>#REF!</v>
      </c>
      <c r="L57" s="2" t="e">
        <f t="shared" ca="1" si="23"/>
        <v>#REF!</v>
      </c>
      <c r="M57" s="2" t="e">
        <f t="shared" ca="1" si="24"/>
        <v>#REF!</v>
      </c>
      <c r="N57" s="2" t="e">
        <f t="shared" ca="1" si="25"/>
        <v>#REF!</v>
      </c>
      <c r="O57" s="2" t="e">
        <f t="shared" ca="1" si="26"/>
        <v>#REF!</v>
      </c>
      <c r="P57" s="2" t="e">
        <f t="shared" ca="1" si="27"/>
        <v>#REF!</v>
      </c>
      <c r="Q57" s="2" t="e">
        <f t="shared" ca="1" si="28"/>
        <v>#REF!</v>
      </c>
      <c r="R57" s="2" t="e">
        <f t="shared" ca="1" si="29"/>
        <v>#REF!</v>
      </c>
      <c r="S57" s="2" t="e">
        <f t="shared" ca="1" si="30"/>
        <v>#REF!</v>
      </c>
      <c r="T57" s="2" t="e">
        <f t="shared" ca="1" si="31"/>
        <v>#REF!</v>
      </c>
      <c r="U57" s="2" t="e">
        <f ca="1">IF(D57&gt;-1,"F",#REF!)</f>
        <v>#REF!</v>
      </c>
    </row>
    <row r="58" spans="1:21" ht="18.399999999999999" thickBot="1" x14ac:dyDescent="0.5">
      <c r="A58" s="13"/>
      <c r="B58" s="17"/>
      <c r="C58" s="17" t="str">
        <f t="shared" si="18"/>
        <v>@live.napier.ac.uk</v>
      </c>
      <c r="D58" s="10" t="e">
        <f t="shared" ca="1" si="13"/>
        <v>#REF!</v>
      </c>
      <c r="E58" s="5" t="e">
        <f t="shared" ca="1" si="14"/>
        <v>#REF!</v>
      </c>
      <c r="F58" s="5" t="e">
        <f t="shared" ca="1" si="15"/>
        <v>#REF!</v>
      </c>
      <c r="G58" s="5" t="e">
        <f t="shared" ca="1" si="16"/>
        <v>#REF!</v>
      </c>
      <c r="H58" s="15" t="e">
        <f t="shared" ca="1" si="19"/>
        <v>#REF!</v>
      </c>
      <c r="I58" s="2" t="e">
        <f t="shared" ca="1" si="20"/>
        <v>#REF!</v>
      </c>
      <c r="J58" s="2" t="e">
        <f t="shared" ca="1" si="21"/>
        <v>#REF!</v>
      </c>
      <c r="K58" s="2" t="e">
        <f t="shared" ca="1" si="22"/>
        <v>#REF!</v>
      </c>
      <c r="L58" s="2" t="e">
        <f t="shared" ca="1" si="23"/>
        <v>#REF!</v>
      </c>
      <c r="M58" s="2" t="e">
        <f t="shared" ca="1" si="24"/>
        <v>#REF!</v>
      </c>
      <c r="N58" s="2" t="e">
        <f t="shared" ca="1" si="25"/>
        <v>#REF!</v>
      </c>
      <c r="O58" s="2" t="e">
        <f t="shared" ca="1" si="26"/>
        <v>#REF!</v>
      </c>
      <c r="P58" s="2" t="e">
        <f t="shared" ca="1" si="27"/>
        <v>#REF!</v>
      </c>
      <c r="Q58" s="2" t="e">
        <f t="shared" ca="1" si="28"/>
        <v>#REF!</v>
      </c>
      <c r="R58" s="2" t="e">
        <f t="shared" ca="1" si="29"/>
        <v>#REF!</v>
      </c>
      <c r="S58" s="2" t="e">
        <f t="shared" ca="1" si="30"/>
        <v>#REF!</v>
      </c>
      <c r="T58" s="2" t="e">
        <f t="shared" ca="1" si="31"/>
        <v>#REF!</v>
      </c>
      <c r="U58" s="2" t="e">
        <f ca="1">IF(D58&gt;-1,"F",#REF!)</f>
        <v>#REF!</v>
      </c>
    </row>
    <row r="59" spans="1:21" ht="18.399999999999999" thickBot="1" x14ac:dyDescent="0.5">
      <c r="A59" s="13"/>
      <c r="B59" s="17"/>
      <c r="C59" s="17" t="str">
        <f t="shared" si="18"/>
        <v>@live.napier.ac.uk</v>
      </c>
      <c r="D59" s="10" t="e">
        <f t="shared" ca="1" si="13"/>
        <v>#REF!</v>
      </c>
      <c r="E59" s="5" t="e">
        <f t="shared" ca="1" si="14"/>
        <v>#REF!</v>
      </c>
      <c r="F59" s="5" t="e">
        <f t="shared" ca="1" si="15"/>
        <v>#REF!</v>
      </c>
      <c r="G59" s="5" t="e">
        <f t="shared" ca="1" si="16"/>
        <v>#REF!</v>
      </c>
      <c r="H59" s="15" t="e">
        <f t="shared" ca="1" si="19"/>
        <v>#REF!</v>
      </c>
      <c r="I59" s="2" t="e">
        <f t="shared" ca="1" si="20"/>
        <v>#REF!</v>
      </c>
      <c r="J59" s="2" t="e">
        <f t="shared" ca="1" si="21"/>
        <v>#REF!</v>
      </c>
      <c r="K59" s="2" t="e">
        <f t="shared" ca="1" si="22"/>
        <v>#REF!</v>
      </c>
      <c r="L59" s="2" t="e">
        <f t="shared" ca="1" si="23"/>
        <v>#REF!</v>
      </c>
      <c r="M59" s="2" t="e">
        <f t="shared" ca="1" si="24"/>
        <v>#REF!</v>
      </c>
      <c r="N59" s="2" t="e">
        <f t="shared" ca="1" si="25"/>
        <v>#REF!</v>
      </c>
      <c r="O59" s="2" t="e">
        <f t="shared" ca="1" si="26"/>
        <v>#REF!</v>
      </c>
      <c r="P59" s="2" t="e">
        <f t="shared" ca="1" si="27"/>
        <v>#REF!</v>
      </c>
      <c r="Q59" s="2" t="e">
        <f t="shared" ca="1" si="28"/>
        <v>#REF!</v>
      </c>
      <c r="R59" s="2" t="e">
        <f t="shared" ca="1" si="29"/>
        <v>#REF!</v>
      </c>
      <c r="S59" s="2" t="e">
        <f t="shared" ca="1" si="30"/>
        <v>#REF!</v>
      </c>
      <c r="T59" s="2" t="e">
        <f t="shared" ca="1" si="31"/>
        <v>#REF!</v>
      </c>
      <c r="U59" s="2" t="e">
        <f ca="1">IF(D59&gt;-1,"F",#REF!)</f>
        <v>#REF!</v>
      </c>
    </row>
    <row r="60" spans="1:21" ht="18.399999999999999" thickBot="1" x14ac:dyDescent="0.5">
      <c r="A60" s="13"/>
      <c r="B60" s="17"/>
      <c r="C60" s="17" t="str">
        <f t="shared" si="18"/>
        <v>@live.napier.ac.uk</v>
      </c>
      <c r="D60" s="10" t="e">
        <f t="shared" ca="1" si="13"/>
        <v>#REF!</v>
      </c>
      <c r="E60" s="5" t="e">
        <f t="shared" ca="1" si="14"/>
        <v>#REF!</v>
      </c>
      <c r="F60" s="5" t="e">
        <f t="shared" ca="1" si="15"/>
        <v>#REF!</v>
      </c>
      <c r="G60" s="5" t="e">
        <f t="shared" ca="1" si="16"/>
        <v>#REF!</v>
      </c>
      <c r="H60" s="15" t="e">
        <f t="shared" ca="1" si="19"/>
        <v>#REF!</v>
      </c>
      <c r="I60" s="2" t="e">
        <f t="shared" ca="1" si="20"/>
        <v>#REF!</v>
      </c>
      <c r="J60" s="2" t="e">
        <f t="shared" ca="1" si="21"/>
        <v>#REF!</v>
      </c>
      <c r="K60" s="2" t="e">
        <f t="shared" ca="1" si="22"/>
        <v>#REF!</v>
      </c>
      <c r="L60" s="2" t="e">
        <f t="shared" ca="1" si="23"/>
        <v>#REF!</v>
      </c>
      <c r="M60" s="2" t="e">
        <f t="shared" ca="1" si="24"/>
        <v>#REF!</v>
      </c>
      <c r="N60" s="2" t="e">
        <f t="shared" ca="1" si="25"/>
        <v>#REF!</v>
      </c>
      <c r="O60" s="2" t="e">
        <f t="shared" ca="1" si="26"/>
        <v>#REF!</v>
      </c>
      <c r="P60" s="2" t="e">
        <f t="shared" ca="1" si="27"/>
        <v>#REF!</v>
      </c>
      <c r="Q60" s="2" t="e">
        <f t="shared" ca="1" si="28"/>
        <v>#REF!</v>
      </c>
      <c r="R60" s="2" t="e">
        <f t="shared" ca="1" si="29"/>
        <v>#REF!</v>
      </c>
      <c r="S60" s="2" t="e">
        <f t="shared" ca="1" si="30"/>
        <v>#REF!</v>
      </c>
      <c r="T60" s="2" t="e">
        <f t="shared" ca="1" si="31"/>
        <v>#REF!</v>
      </c>
      <c r="U60" s="2" t="e">
        <f ca="1">IF(D60&gt;-1,"F",#REF!)</f>
        <v>#REF!</v>
      </c>
    </row>
  </sheetData>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reate_PDF_Project1_Feedback_and_Email">
                <anchor moveWithCells="1" sizeWithCells="1">
                  <from>
                    <xdr:col>22</xdr:col>
                    <xdr:colOff>0</xdr:colOff>
                    <xdr:row>9</xdr:row>
                    <xdr:rowOff>95250</xdr:rowOff>
                  </from>
                  <to>
                    <xdr:col>26</xdr:col>
                    <xdr:colOff>95250</xdr:colOff>
                    <xdr:row>12</xdr:row>
                    <xdr:rowOff>228600</xdr:rowOff>
                  </to>
                </anchor>
              </controlPr>
            </control>
          </mc:Choice>
        </mc:AlternateContent>
        <mc:AlternateContent xmlns:mc="http://schemas.openxmlformats.org/markup-compatibility/2006">
          <mc:Choice Requires="x14">
            <control shapeId="3074" r:id="rId5" name="Button 2">
              <controlPr defaultSize="0" print="0" autoFill="0" autoPict="0" macro="[0]!Create_PDF_Project2_Feedback_and_Email">
                <anchor moveWithCells="1" sizeWithCells="1">
                  <from>
                    <xdr:col>22</xdr:col>
                    <xdr:colOff>0</xdr:colOff>
                    <xdr:row>13</xdr:row>
                    <xdr:rowOff>114300</xdr:rowOff>
                  </from>
                  <to>
                    <xdr:col>26</xdr:col>
                    <xdr:colOff>95250</xdr:colOff>
                    <xdr:row>17</xdr:row>
                    <xdr:rowOff>0</xdr:rowOff>
                  </to>
                </anchor>
              </controlPr>
            </control>
          </mc:Choice>
        </mc:AlternateContent>
        <mc:AlternateContent xmlns:mc="http://schemas.openxmlformats.org/markup-compatibility/2006">
          <mc:Choice Requires="x14">
            <control shapeId="3075" r:id="rId6" name="Button 3">
              <controlPr defaultSize="0" print="0" autoFill="0" autoPict="0" macro="[0]!CreateMarkingSheets">
                <anchor moveWithCells="1" sizeWithCells="1">
                  <from>
                    <xdr:col>22</xdr:col>
                    <xdr:colOff>0</xdr:colOff>
                    <xdr:row>5</xdr:row>
                    <xdr:rowOff>104775</xdr:rowOff>
                  </from>
                  <to>
                    <xdr:col>26</xdr:col>
                    <xdr:colOff>95250</xdr:colOff>
                    <xdr:row>8</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8"/>
  <sheetViews>
    <sheetView zoomScaleNormal="100" workbookViewId="0">
      <selection activeCell="C7" sqref="C7"/>
    </sheetView>
  </sheetViews>
  <sheetFormatPr defaultRowHeight="14.25" x14ac:dyDescent="0.45"/>
  <cols>
    <col min="1" max="15" width="10.1328125" customWidth="1"/>
  </cols>
  <sheetData>
    <row r="1" spans="1:15" x14ac:dyDescent="0.45">
      <c r="B1" t="s">
        <v>51</v>
      </c>
      <c r="C1" t="s">
        <v>52</v>
      </c>
      <c r="D1" t="s">
        <v>53</v>
      </c>
      <c r="E1" t="s">
        <v>54</v>
      </c>
      <c r="F1" t="s">
        <v>55</v>
      </c>
      <c r="G1" t="s">
        <v>56</v>
      </c>
      <c r="H1" t="s">
        <v>57</v>
      </c>
      <c r="I1" t="s">
        <v>58</v>
      </c>
      <c r="J1" t="s">
        <v>59</v>
      </c>
      <c r="K1" t="s">
        <v>60</v>
      </c>
      <c r="L1" t="s">
        <v>61</v>
      </c>
      <c r="M1" t="s">
        <v>62</v>
      </c>
      <c r="N1" t="s">
        <v>63</v>
      </c>
      <c r="O1" t="s">
        <v>64</v>
      </c>
    </row>
    <row r="2" spans="1:15" ht="62.25" customHeight="1" x14ac:dyDescent="0.45">
      <c r="A2" t="s">
        <v>67</v>
      </c>
      <c r="B2" s="3" t="s">
        <v>7</v>
      </c>
      <c r="C2" s="3" t="s">
        <v>68</v>
      </c>
      <c r="D2" s="3" t="s">
        <v>8</v>
      </c>
      <c r="E2" s="3" t="s">
        <v>9</v>
      </c>
      <c r="F2" s="3" t="s">
        <v>10</v>
      </c>
      <c r="G2" s="3" t="s">
        <v>11</v>
      </c>
      <c r="H2" s="3" t="s">
        <v>12</v>
      </c>
      <c r="I2" s="3" t="s">
        <v>13</v>
      </c>
      <c r="J2" s="3" t="s">
        <v>14</v>
      </c>
      <c r="K2" s="3" t="s">
        <v>15</v>
      </c>
      <c r="L2" s="3" t="s">
        <v>69</v>
      </c>
      <c r="M2" s="3" t="s">
        <v>16</v>
      </c>
      <c r="N2" s="3" t="s">
        <v>17</v>
      </c>
      <c r="O2" s="3" t="s">
        <v>18</v>
      </c>
    </row>
    <row r="3" spans="1:15" ht="62.25" customHeight="1" x14ac:dyDescent="0.45">
      <c r="A3" t="s">
        <v>0</v>
      </c>
      <c r="B3" s="3" t="s">
        <v>7</v>
      </c>
      <c r="C3" s="3" t="s">
        <v>19</v>
      </c>
      <c r="D3" s="3" t="s">
        <v>8</v>
      </c>
      <c r="E3" s="3" t="s">
        <v>9</v>
      </c>
      <c r="F3" s="3" t="s">
        <v>20</v>
      </c>
      <c r="G3" s="3" t="s">
        <v>11</v>
      </c>
      <c r="H3" s="3" t="s">
        <v>12</v>
      </c>
      <c r="I3" s="3" t="s">
        <v>65</v>
      </c>
      <c r="J3" s="3" t="s">
        <v>14</v>
      </c>
      <c r="K3" s="3" t="s">
        <v>15</v>
      </c>
      <c r="L3" s="3" t="s">
        <v>66</v>
      </c>
      <c r="M3" s="3" t="s">
        <v>16</v>
      </c>
      <c r="N3" s="3" t="s">
        <v>21</v>
      </c>
      <c r="O3" s="3" t="s">
        <v>22</v>
      </c>
    </row>
    <row r="4" spans="1:15" ht="62.25" customHeight="1" x14ac:dyDescent="0.45">
      <c r="A4" t="s">
        <v>1</v>
      </c>
      <c r="B4" s="3" t="s">
        <v>7</v>
      </c>
      <c r="C4" s="3" t="s">
        <v>23</v>
      </c>
      <c r="D4" s="3" t="s">
        <v>8</v>
      </c>
      <c r="E4" s="3" t="s">
        <v>9</v>
      </c>
      <c r="F4" s="3" t="s">
        <v>70</v>
      </c>
      <c r="G4" s="3" t="s">
        <v>11</v>
      </c>
      <c r="H4" s="3" t="s">
        <v>12</v>
      </c>
      <c r="I4" s="3" t="s">
        <v>24</v>
      </c>
      <c r="J4" s="3" t="s">
        <v>14</v>
      </c>
      <c r="K4" s="3" t="s">
        <v>15</v>
      </c>
      <c r="L4" s="3" t="s">
        <v>25</v>
      </c>
      <c r="M4" s="3" t="s">
        <v>16</v>
      </c>
      <c r="N4" s="3" t="s">
        <v>26</v>
      </c>
      <c r="O4" s="3" t="s">
        <v>27</v>
      </c>
    </row>
    <row r="5" spans="1:15" ht="62.25" customHeight="1" x14ac:dyDescent="0.45">
      <c r="A5" t="s">
        <v>3</v>
      </c>
      <c r="B5" s="3" t="s">
        <v>7</v>
      </c>
      <c r="C5" s="3" t="s">
        <v>28</v>
      </c>
      <c r="D5" s="3" t="s">
        <v>8</v>
      </c>
      <c r="E5" s="3" t="s">
        <v>9</v>
      </c>
      <c r="F5" s="3" t="s">
        <v>29</v>
      </c>
      <c r="G5" s="3" t="s">
        <v>11</v>
      </c>
      <c r="H5" s="3" t="s">
        <v>12</v>
      </c>
      <c r="I5" s="3" t="s">
        <v>30</v>
      </c>
      <c r="J5" s="3" t="s">
        <v>14</v>
      </c>
      <c r="K5" s="3" t="s">
        <v>15</v>
      </c>
      <c r="L5" s="3" t="s">
        <v>31</v>
      </c>
      <c r="M5" s="3" t="s">
        <v>16</v>
      </c>
      <c r="N5" s="3" t="s">
        <v>32</v>
      </c>
      <c r="O5" s="3" t="s">
        <v>33</v>
      </c>
    </row>
    <row r="6" spans="1:15" ht="62.25" customHeight="1" x14ac:dyDescent="0.45">
      <c r="A6" t="s">
        <v>4</v>
      </c>
      <c r="B6" s="3" t="s">
        <v>7</v>
      </c>
      <c r="C6" s="3" t="s">
        <v>34</v>
      </c>
      <c r="D6" s="3" t="s">
        <v>8</v>
      </c>
      <c r="E6" s="3" t="s">
        <v>9</v>
      </c>
      <c r="F6" s="3" t="s">
        <v>35</v>
      </c>
      <c r="G6" s="3" t="s">
        <v>11</v>
      </c>
      <c r="H6" s="3" t="s">
        <v>12</v>
      </c>
      <c r="I6" s="3" t="s">
        <v>36</v>
      </c>
      <c r="J6" s="3" t="s">
        <v>14</v>
      </c>
      <c r="K6" s="3" t="s">
        <v>15</v>
      </c>
      <c r="L6" s="3" t="s">
        <v>37</v>
      </c>
      <c r="M6" s="3" t="s">
        <v>16</v>
      </c>
      <c r="N6" s="3" t="s">
        <v>38</v>
      </c>
      <c r="O6" s="3" t="s">
        <v>39</v>
      </c>
    </row>
    <row r="7" spans="1:15" ht="62.25" customHeight="1" x14ac:dyDescent="0.45">
      <c r="A7" t="s">
        <v>5</v>
      </c>
      <c r="B7" s="3" t="s">
        <v>7</v>
      </c>
      <c r="C7" s="3" t="s">
        <v>40</v>
      </c>
      <c r="D7" s="3" t="s">
        <v>8</v>
      </c>
      <c r="E7" s="3" t="s">
        <v>9</v>
      </c>
      <c r="F7" s="3" t="s">
        <v>41</v>
      </c>
      <c r="G7" s="3" t="s">
        <v>11</v>
      </c>
      <c r="H7" s="3" t="s">
        <v>12</v>
      </c>
      <c r="I7" s="3" t="s">
        <v>42</v>
      </c>
      <c r="J7" s="3" t="s">
        <v>14</v>
      </c>
      <c r="K7" s="3" t="s">
        <v>15</v>
      </c>
      <c r="L7" s="3" t="s">
        <v>43</v>
      </c>
      <c r="M7" s="3" t="s">
        <v>16</v>
      </c>
      <c r="N7" s="3" t="s">
        <v>44</v>
      </c>
      <c r="O7" s="3" t="s">
        <v>45</v>
      </c>
    </row>
    <row r="8" spans="1:15" ht="62.25" customHeight="1" x14ac:dyDescent="0.45">
      <c r="A8" t="s">
        <v>6</v>
      </c>
      <c r="B8" s="3" t="s">
        <v>7</v>
      </c>
      <c r="C8" s="3" t="s">
        <v>46</v>
      </c>
      <c r="D8" s="3" t="s">
        <v>8</v>
      </c>
      <c r="E8" s="3" t="s">
        <v>9</v>
      </c>
      <c r="F8" s="3" t="s">
        <v>47</v>
      </c>
      <c r="G8" s="3" t="s">
        <v>11</v>
      </c>
      <c r="H8" s="3" t="s">
        <v>12</v>
      </c>
      <c r="I8" s="3" t="s">
        <v>48</v>
      </c>
      <c r="J8" s="3" t="s">
        <v>14</v>
      </c>
      <c r="K8" s="3" t="s">
        <v>15</v>
      </c>
      <c r="L8" s="3" t="s">
        <v>49</v>
      </c>
      <c r="M8" s="3" t="s">
        <v>16</v>
      </c>
      <c r="N8" s="3" t="s">
        <v>50</v>
      </c>
      <c r="O8" s="3" t="s">
        <v>50</v>
      </c>
    </row>
  </sheetData>
  <pageMargins left="0.7" right="0.7" top="0.75" bottom="0.75" header="0.3" footer="0.3"/>
  <pageSetup paperSize="9" scale="75" orientation="portrait" r:id="rId1"/>
  <colBreaks count="1" manualBreakCount="1">
    <brk id="7"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Marking Template</vt:lpstr>
      <vt:lpstr>Class List</vt:lpstr>
      <vt:lpstr>Assessment Matrix</vt:lpstr>
      <vt:lpstr>'Class List'!_GoBack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Ruth</dc:creator>
  <cp:lastModifiedBy>Ruth Cochrane</cp:lastModifiedBy>
  <cp:lastPrinted>2016-08-31T08:50:26Z</cp:lastPrinted>
  <dcterms:created xsi:type="dcterms:W3CDTF">2014-03-20T13:11:05Z</dcterms:created>
  <dcterms:modified xsi:type="dcterms:W3CDTF">2019-05-21T14:34:23Z</dcterms:modified>
</cp:coreProperties>
</file>